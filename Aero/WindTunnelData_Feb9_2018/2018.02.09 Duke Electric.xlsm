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Users\Customer\Desktop\"/>
    </mc:Choice>
  </mc:AlternateContent>
  <bookViews>
    <workbookView xWindow="-45" yWindow="3480" windowWidth="15480" windowHeight="8460"/>
  </bookViews>
  <sheets>
    <sheet name="Coeff" sheetId="14" r:id="rId1"/>
    <sheet name="TestInfoPage" sheetId="16" r:id="rId2"/>
  </sheets>
  <calcPr calcId="152511"/>
</workbook>
</file>

<file path=xl/calcChain.xml><?xml version="1.0" encoding="utf-8"?>
<calcChain xmlns="http://schemas.openxmlformats.org/spreadsheetml/2006/main">
  <c r="AX49" i="14" l="1"/>
  <c r="AX29" i="14"/>
  <c r="AX9" i="14"/>
  <c r="AY9" i="14"/>
  <c r="AY94" i="14"/>
  <c r="AY84" i="14"/>
  <c r="AY74" i="14"/>
  <c r="AY64" i="14"/>
  <c r="AY54" i="14"/>
  <c r="AY44" i="14"/>
  <c r="AY34" i="14"/>
  <c r="AY24" i="14"/>
  <c r="AY14" i="14"/>
  <c r="AX19" i="14"/>
  <c r="AX99" i="14"/>
  <c r="AX94" i="14"/>
  <c r="AX89" i="14"/>
  <c r="AX84" i="14"/>
  <c r="AX79" i="14"/>
  <c r="AX74" i="14"/>
  <c r="AX69" i="14"/>
  <c r="AX64" i="14"/>
  <c r="AX59" i="14"/>
  <c r="AX54" i="14"/>
  <c r="AX44" i="14"/>
  <c r="AX34" i="14"/>
  <c r="AX24" i="14"/>
  <c r="AX14" i="14"/>
  <c r="AX39" i="14"/>
  <c r="AY99" i="14"/>
  <c r="AY89" i="14"/>
  <c r="AY79" i="14"/>
  <c r="AY69" i="14"/>
  <c r="AY59" i="14"/>
  <c r="AY49" i="14"/>
  <c r="AY39" i="14"/>
  <c r="AY29" i="14"/>
  <c r="AY19" i="14"/>
  <c r="BR34" i="14" l="1"/>
  <c r="BB34" i="14"/>
  <c r="BL69" i="14"/>
  <c r="BR74" i="14"/>
  <c r="BL29" i="14"/>
  <c r="BJ74" i="14"/>
  <c r="BH59" i="14"/>
  <c r="BP49" i="14"/>
  <c r="BF44" i="14"/>
  <c r="BH29" i="14"/>
  <c r="BJ24" i="14"/>
  <c r="BP19" i="14"/>
  <c r="BL19" i="14"/>
  <c r="BH19" i="14"/>
  <c r="BP9" i="14"/>
  <c r="BB84" i="14"/>
  <c r="BF74" i="14"/>
  <c r="BL59" i="14"/>
  <c r="BH99" i="14"/>
  <c r="BP89" i="14"/>
  <c r="BF84" i="14"/>
  <c r="BJ64" i="14"/>
  <c r="BR44" i="14"/>
  <c r="BB44" i="14"/>
  <c r="BJ34" i="14"/>
  <c r="BF34" i="14"/>
  <c r="BR84" i="14"/>
  <c r="BB74" i="14"/>
  <c r="BP59" i="14"/>
  <c r="BH69" i="14"/>
  <c r="BP99" i="14"/>
  <c r="BO79" i="14"/>
  <c r="BC79" i="14"/>
  <c r="BE79" i="14"/>
  <c r="BM74" i="14"/>
  <c r="BE74" i="14"/>
  <c r="BQ64" i="14"/>
  <c r="BI69" i="14"/>
  <c r="BL89" i="14"/>
  <c r="BH89" i="14"/>
  <c r="BD89" i="14"/>
  <c r="BD99" i="14"/>
  <c r="BK79" i="14"/>
  <c r="BQ79" i="14"/>
  <c r="BI79" i="14"/>
  <c r="BQ74" i="14"/>
  <c r="BQ69" i="14"/>
  <c r="BE69" i="14"/>
  <c r="BR99" i="14"/>
  <c r="BL99" i="14"/>
  <c r="BS79" i="14"/>
  <c r="BG79" i="14"/>
  <c r="BM79" i="14"/>
  <c r="BI74" i="14"/>
  <c r="BM64" i="14"/>
  <c r="BM69" i="14"/>
  <c r="BQ84" i="14"/>
  <c r="BM84" i="14"/>
  <c r="BI84" i="14"/>
  <c r="BE84" i="14"/>
  <c r="BS84" i="14"/>
  <c r="BO84" i="14"/>
  <c r="BK84" i="14"/>
  <c r="BG84" i="14"/>
  <c r="BC84" i="14"/>
  <c r="BI64" i="14"/>
  <c r="BO64" i="14"/>
  <c r="BC64" i="14"/>
  <c r="BI54" i="14"/>
  <c r="BO54" i="14"/>
  <c r="BC54" i="14"/>
  <c r="BJ44" i="14"/>
  <c r="BC39" i="14"/>
  <c r="BS34" i="14"/>
  <c r="BK34" i="14"/>
  <c r="BQ29" i="14"/>
  <c r="BI29" i="14"/>
  <c r="BQ24" i="14"/>
  <c r="BE24" i="14"/>
  <c r="BO24" i="14"/>
  <c r="BC24" i="14"/>
  <c r="BQ14" i="14"/>
  <c r="BE14" i="14"/>
  <c r="BK14" i="14"/>
  <c r="BS94" i="14"/>
  <c r="BO94" i="14"/>
  <c r="BK94" i="14"/>
  <c r="BG94" i="14"/>
  <c r="BC94" i="14"/>
  <c r="BS89" i="14"/>
  <c r="BO89" i="14"/>
  <c r="BK89" i="14"/>
  <c r="BG89" i="14"/>
  <c r="BC89" i="14"/>
  <c r="BN84" i="14"/>
  <c r="BJ84" i="14"/>
  <c r="BP79" i="14"/>
  <c r="BL79" i="14"/>
  <c r="BH79" i="14"/>
  <c r="BD79" i="14"/>
  <c r="BP69" i="14"/>
  <c r="BD69" i="14"/>
  <c r="BR64" i="14"/>
  <c r="BN64" i="14"/>
  <c r="BF64" i="14"/>
  <c r="BB64" i="14"/>
  <c r="BS59" i="14"/>
  <c r="BO59" i="14"/>
  <c r="BK59" i="14"/>
  <c r="BG59" i="14"/>
  <c r="BC59" i="14"/>
  <c r="BQ59" i="14"/>
  <c r="BM59" i="14"/>
  <c r="BI59" i="14"/>
  <c r="BE59" i="14"/>
  <c r="BR54" i="14"/>
  <c r="BN54" i="14"/>
  <c r="BJ54" i="14"/>
  <c r="BF54" i="14"/>
  <c r="BB54" i="14"/>
  <c r="BN34" i="14"/>
  <c r="BP29" i="14"/>
  <c r="BD29" i="14"/>
  <c r="BR24" i="14"/>
  <c r="BN24" i="14"/>
  <c r="BF24" i="14"/>
  <c r="BB24" i="14"/>
  <c r="BS19" i="14"/>
  <c r="BO19" i="14"/>
  <c r="BK19" i="14"/>
  <c r="BG19" i="14"/>
  <c r="BC19" i="14"/>
  <c r="BQ19" i="14"/>
  <c r="BM19" i="14"/>
  <c r="BI19" i="14"/>
  <c r="BE19" i="14"/>
  <c r="BR14" i="14"/>
  <c r="BN14" i="14"/>
  <c r="BJ14" i="14"/>
  <c r="BF14" i="14"/>
  <c r="BB14" i="14"/>
  <c r="BS64" i="14"/>
  <c r="BG64" i="14"/>
  <c r="BQ54" i="14"/>
  <c r="BE54" i="14"/>
  <c r="BK54" i="14"/>
  <c r="BO39" i="14"/>
  <c r="BG39" i="14"/>
  <c r="BO34" i="14"/>
  <c r="BC34" i="14"/>
  <c r="BM29" i="14"/>
  <c r="BE29" i="14"/>
  <c r="BI24" i="14"/>
  <c r="BK24" i="14"/>
  <c r="BI14" i="14"/>
  <c r="BO14" i="14"/>
  <c r="BC14" i="14"/>
  <c r="BS99" i="14"/>
  <c r="BO99" i="14"/>
  <c r="BK99" i="14"/>
  <c r="BG99" i="14"/>
  <c r="BQ94" i="14"/>
  <c r="BM94" i="14"/>
  <c r="BI94" i="14"/>
  <c r="BE94" i="14"/>
  <c r="BQ89" i="14"/>
  <c r="BM89" i="14"/>
  <c r="BI89" i="14"/>
  <c r="BE89" i="14"/>
  <c r="BN74" i="14"/>
  <c r="BL49" i="14"/>
  <c r="BH49" i="14"/>
  <c r="BD49" i="14"/>
  <c r="BQ44" i="14"/>
  <c r="BM44" i="14"/>
  <c r="BI44" i="14"/>
  <c r="BE44" i="14"/>
  <c r="BS44" i="14"/>
  <c r="BO44" i="14"/>
  <c r="BK44" i="14"/>
  <c r="BG44" i="14"/>
  <c r="BC44" i="14"/>
  <c r="BP39" i="14"/>
  <c r="BL39" i="14"/>
  <c r="BH39" i="14"/>
  <c r="BD39" i="14"/>
  <c r="BL9" i="14"/>
  <c r="BH9" i="14"/>
  <c r="BD9" i="14"/>
  <c r="BE64" i="14"/>
  <c r="BK64" i="14"/>
  <c r="BM54" i="14"/>
  <c r="BS54" i="14"/>
  <c r="BG54" i="14"/>
  <c r="BN44" i="14"/>
  <c r="BS39" i="14"/>
  <c r="BK39" i="14"/>
  <c r="BG34" i="14"/>
  <c r="BM24" i="14"/>
  <c r="BS24" i="14"/>
  <c r="BG24" i="14"/>
  <c r="BM14" i="14"/>
  <c r="BS14" i="14"/>
  <c r="BG14" i="14"/>
  <c r="BR94" i="14"/>
  <c r="BN94" i="14"/>
  <c r="BJ94" i="14"/>
  <c r="BF94" i="14"/>
  <c r="BB94" i="14"/>
  <c r="BS74" i="14"/>
  <c r="BO74" i="14"/>
  <c r="BK74" i="14"/>
  <c r="BG74" i="14"/>
  <c r="BC74" i="14"/>
  <c r="BS69" i="14"/>
  <c r="BO69" i="14"/>
  <c r="BK69" i="14"/>
  <c r="BG69" i="14"/>
  <c r="BC69" i="14"/>
  <c r="BD59" i="14"/>
  <c r="BS49" i="14"/>
  <c r="BO49" i="14"/>
  <c r="BK49" i="14"/>
  <c r="BG49" i="14"/>
  <c r="BC49" i="14"/>
  <c r="BQ49" i="14"/>
  <c r="BM49" i="14"/>
  <c r="BI49" i="14"/>
  <c r="BE49" i="14"/>
  <c r="BQ39" i="14"/>
  <c r="BM39" i="14"/>
  <c r="BI39" i="14"/>
  <c r="BE39" i="14"/>
  <c r="BQ34" i="14"/>
  <c r="BM34" i="14"/>
  <c r="BI34" i="14"/>
  <c r="BE34" i="14"/>
  <c r="BS29" i="14"/>
  <c r="BO29" i="14"/>
  <c r="BK29" i="14"/>
  <c r="BG29" i="14"/>
  <c r="BC29" i="14"/>
  <c r="BD19" i="14"/>
  <c r="BS9" i="14"/>
  <c r="BO9" i="14"/>
  <c r="BK9" i="14"/>
  <c r="BG9" i="14"/>
  <c r="BC9" i="14"/>
  <c r="BQ9" i="14"/>
  <c r="BM9" i="14"/>
  <c r="BI9" i="14"/>
  <c r="BE9" i="14"/>
  <c r="BL94" i="14"/>
  <c r="BJ79" i="14"/>
  <c r="BL54" i="14"/>
  <c r="BN39" i="14"/>
  <c r="BB39" i="14"/>
  <c r="BL14" i="14"/>
  <c r="BD14" i="14"/>
  <c r="BN99" i="14"/>
  <c r="BJ99" i="14"/>
  <c r="BF99" i="14"/>
  <c r="BB99" i="14"/>
  <c r="BP84" i="14"/>
  <c r="BL84" i="14"/>
  <c r="BH84" i="14"/>
  <c r="BD84" i="14"/>
  <c r="BR69" i="14"/>
  <c r="BN69" i="14"/>
  <c r="BJ69" i="14"/>
  <c r="BF69" i="14"/>
  <c r="BB69" i="14"/>
  <c r="BP44" i="14"/>
  <c r="BL44" i="14"/>
  <c r="BH44" i="14"/>
  <c r="BD44" i="14"/>
  <c r="BR29" i="14"/>
  <c r="BN29" i="14"/>
  <c r="BJ29" i="14"/>
  <c r="BF29" i="14"/>
  <c r="BB29" i="14"/>
  <c r="BC99" i="14"/>
  <c r="BP94" i="14"/>
  <c r="BD94" i="14"/>
  <c r="BR79" i="14"/>
  <c r="BF79" i="14"/>
  <c r="BD54" i="14"/>
  <c r="BR39" i="14"/>
  <c r="BF39" i="14"/>
  <c r="BP14" i="14"/>
  <c r="BH14" i="14"/>
  <c r="BQ99" i="14"/>
  <c r="BM99" i="14"/>
  <c r="BI99" i="14"/>
  <c r="BE99" i="14"/>
  <c r="BP74" i="14"/>
  <c r="BL74" i="14"/>
  <c r="BH74" i="14"/>
  <c r="BD74" i="14"/>
  <c r="BR59" i="14"/>
  <c r="BN59" i="14"/>
  <c r="BJ59" i="14"/>
  <c r="BF59" i="14"/>
  <c r="BB59" i="14"/>
  <c r="BP34" i="14"/>
  <c r="BL34" i="14"/>
  <c r="BH34" i="14"/>
  <c r="BD34" i="14"/>
  <c r="BR19" i="14"/>
  <c r="BN19" i="14"/>
  <c r="BJ19" i="14"/>
  <c r="BF19" i="14"/>
  <c r="BB19" i="14"/>
  <c r="BH94" i="14"/>
  <c r="BN79" i="14"/>
  <c r="BB79" i="14"/>
  <c r="BP54" i="14"/>
  <c r="BH54" i="14"/>
  <c r="BJ39" i="14"/>
  <c r="BR89" i="14"/>
  <c r="BN89" i="14"/>
  <c r="BJ89" i="14"/>
  <c r="BF89" i="14"/>
  <c r="BB89" i="14"/>
  <c r="BP64" i="14"/>
  <c r="BL64" i="14"/>
  <c r="BH64" i="14"/>
  <c r="BD64" i="14"/>
  <c r="BR49" i="14"/>
  <c r="BN49" i="14"/>
  <c r="BJ49" i="14"/>
  <c r="BF49" i="14"/>
  <c r="BB49" i="14"/>
  <c r="BP24" i="14"/>
  <c r="BL24" i="14"/>
  <c r="BH24" i="14"/>
  <c r="BD24" i="14"/>
  <c r="BR9" i="14"/>
  <c r="BN9" i="14"/>
  <c r="BJ9" i="14"/>
  <c r="BF9" i="14"/>
  <c r="BB9" i="14"/>
  <c r="A2" i="14"/>
  <c r="AR99" i="14"/>
  <c r="AP99" i="14"/>
  <c r="AS94" i="14"/>
  <c r="AR94" i="14"/>
  <c r="AQ94" i="14"/>
  <c r="AS89" i="14"/>
  <c r="AQ89" i="14"/>
  <c r="AP89" i="14"/>
  <c r="AS84" i="14"/>
  <c r="AR84" i="14"/>
  <c r="AP84" i="14"/>
  <c r="AS79" i="14"/>
  <c r="AR79" i="14"/>
  <c r="AQ79" i="14"/>
  <c r="AP79" i="14"/>
  <c r="AR74" i="14"/>
  <c r="AQ74" i="14"/>
  <c r="AP74" i="14"/>
  <c r="AS69" i="14"/>
  <c r="AR69" i="14"/>
  <c r="AQ69" i="14"/>
  <c r="AP69" i="14"/>
  <c r="AS64" i="14"/>
  <c r="AR64" i="14"/>
  <c r="AP64" i="14"/>
  <c r="AR59" i="14"/>
  <c r="AS54" i="14"/>
  <c r="AQ54" i="14"/>
  <c r="AP54" i="14"/>
  <c r="AS49" i="14"/>
  <c r="AR49" i="14"/>
  <c r="AQ49" i="14"/>
  <c r="AP49" i="14"/>
  <c r="AS44" i="14"/>
  <c r="AQ44" i="14"/>
  <c r="AP44" i="14"/>
  <c r="AS39" i="14"/>
  <c r="AQ39" i="14"/>
  <c r="AR34" i="14"/>
  <c r="AS29" i="14"/>
  <c r="AR29" i="14"/>
  <c r="AR24" i="14"/>
  <c r="AQ24" i="14"/>
  <c r="AR19" i="14"/>
  <c r="AS14" i="14"/>
  <c r="AQ14" i="14"/>
  <c r="AP14" i="14"/>
  <c r="AS9" i="14"/>
  <c r="AQ9" i="14"/>
  <c r="AS4" i="14"/>
  <c r="J39" i="14"/>
  <c r="B2" i="16"/>
  <c r="BR4" i="14"/>
  <c r="BI4" i="14"/>
  <c r="BF4" i="14"/>
  <c r="BE4" i="14"/>
  <c r="BD4" i="14"/>
  <c r="BC4" i="14"/>
  <c r="B9" i="16"/>
  <c r="B10" i="16"/>
  <c r="F54" i="14"/>
  <c r="AN99" i="14"/>
  <c r="AM99" i="14"/>
  <c r="AL99" i="14"/>
  <c r="AN94" i="14"/>
  <c r="AM94" i="14"/>
  <c r="AL94" i="14"/>
  <c r="AN89" i="14"/>
  <c r="AM89" i="14"/>
  <c r="AL89" i="14"/>
  <c r="AN84" i="14"/>
  <c r="AM84" i="14"/>
  <c r="AL84" i="14"/>
  <c r="AN79" i="14"/>
  <c r="AM79" i="14"/>
  <c r="AL79" i="14"/>
  <c r="AN74" i="14"/>
  <c r="AM74" i="14"/>
  <c r="AL74" i="14"/>
  <c r="AN69" i="14"/>
  <c r="AM69" i="14"/>
  <c r="AL69" i="14"/>
  <c r="AN59" i="14"/>
  <c r="AM59" i="14"/>
  <c r="AL59" i="14"/>
  <c r="AN54" i="14"/>
  <c r="AM54" i="14"/>
  <c r="AL54" i="14"/>
  <c r="AN49" i="14"/>
  <c r="AM49" i="14"/>
  <c r="AL49" i="14"/>
  <c r="AN44" i="14"/>
  <c r="AM44" i="14"/>
  <c r="AL44" i="14"/>
  <c r="AN29" i="14"/>
  <c r="AM29" i="14"/>
  <c r="AL29" i="14"/>
  <c r="AN14" i="14"/>
  <c r="AM14" i="14"/>
  <c r="AL14" i="14"/>
  <c r="AN9" i="14"/>
  <c r="AM9" i="14"/>
  <c r="AL9" i="14"/>
  <c r="CK99" i="14"/>
  <c r="CJ99" i="14"/>
  <c r="CI99" i="14"/>
  <c r="CH99" i="14"/>
  <c r="CG99" i="14"/>
  <c r="CF99" i="14"/>
  <c r="CE99" i="14"/>
  <c r="CD99" i="14"/>
  <c r="CC99" i="14"/>
  <c r="CB99" i="14"/>
  <c r="CA99" i="14"/>
  <c r="BZ99" i="14"/>
  <c r="BY99" i="14"/>
  <c r="BX99" i="14"/>
  <c r="BW99" i="14"/>
  <c r="BV99" i="14"/>
  <c r="BU99" i="14"/>
  <c r="BT99" i="14"/>
  <c r="CK94" i="14"/>
  <c r="CJ94" i="14"/>
  <c r="CI94" i="14"/>
  <c r="CH94" i="14"/>
  <c r="CG94" i="14"/>
  <c r="CF94" i="14"/>
  <c r="CE94" i="14"/>
  <c r="CD94" i="14"/>
  <c r="CC94" i="14"/>
  <c r="CB94" i="14"/>
  <c r="CA94" i="14"/>
  <c r="BZ94" i="14"/>
  <c r="BY94" i="14"/>
  <c r="BX94" i="14"/>
  <c r="BW94" i="14"/>
  <c r="BV94" i="14"/>
  <c r="BU94" i="14"/>
  <c r="BT94" i="14"/>
  <c r="CK89" i="14"/>
  <c r="CJ89" i="14"/>
  <c r="CI89" i="14"/>
  <c r="CH89" i="14"/>
  <c r="CG89" i="14"/>
  <c r="CF89" i="14"/>
  <c r="CE89" i="14"/>
  <c r="CD89" i="14"/>
  <c r="CC89" i="14"/>
  <c r="CB89" i="14"/>
  <c r="CA89" i="14"/>
  <c r="BZ89" i="14"/>
  <c r="BY89" i="14"/>
  <c r="BX89" i="14"/>
  <c r="BW89" i="14"/>
  <c r="BV89" i="14"/>
  <c r="BU89" i="14"/>
  <c r="BT89" i="14"/>
  <c r="CK84" i="14"/>
  <c r="CJ84" i="14"/>
  <c r="CI84" i="14"/>
  <c r="CH84" i="14"/>
  <c r="CG84" i="14"/>
  <c r="CF84" i="14"/>
  <c r="CE84" i="14"/>
  <c r="CD84" i="14"/>
  <c r="CC84" i="14"/>
  <c r="CB84" i="14"/>
  <c r="CA84" i="14"/>
  <c r="BZ84" i="14"/>
  <c r="BY84" i="14"/>
  <c r="BX84" i="14"/>
  <c r="BW84" i="14"/>
  <c r="BV84" i="14"/>
  <c r="BU84" i="14"/>
  <c r="BT84" i="14"/>
  <c r="CK79" i="14"/>
  <c r="CJ79" i="14"/>
  <c r="CI79" i="14"/>
  <c r="CH79" i="14"/>
  <c r="CG79" i="14"/>
  <c r="CF79" i="14"/>
  <c r="CE79" i="14"/>
  <c r="CD79" i="14"/>
  <c r="CC79" i="14"/>
  <c r="CB79" i="14"/>
  <c r="CA79" i="14"/>
  <c r="BZ79" i="14"/>
  <c r="BY79" i="14"/>
  <c r="BX79" i="14"/>
  <c r="BW79" i="14"/>
  <c r="BV79" i="14"/>
  <c r="BU79" i="14"/>
  <c r="BT79" i="14"/>
  <c r="CK74" i="14"/>
  <c r="CJ74" i="14"/>
  <c r="CI74" i="14"/>
  <c r="CH74" i="14"/>
  <c r="CG74" i="14"/>
  <c r="CF74" i="14"/>
  <c r="CE74" i="14"/>
  <c r="CD74" i="14"/>
  <c r="CC74" i="14"/>
  <c r="CB74" i="14"/>
  <c r="CA74" i="14"/>
  <c r="BZ74" i="14"/>
  <c r="BY74" i="14"/>
  <c r="BX74" i="14"/>
  <c r="BW74" i="14"/>
  <c r="BV74" i="14"/>
  <c r="BU74" i="14"/>
  <c r="BT74" i="14"/>
  <c r="CK69" i="14"/>
  <c r="CJ69" i="14"/>
  <c r="CI69" i="14"/>
  <c r="CH69" i="14"/>
  <c r="CG69" i="14"/>
  <c r="CF69" i="14"/>
  <c r="CE69" i="14"/>
  <c r="CD69" i="14"/>
  <c r="CC69" i="14"/>
  <c r="CB69" i="14"/>
  <c r="CA69" i="14"/>
  <c r="BZ69" i="14"/>
  <c r="BY69" i="14"/>
  <c r="BX69" i="14"/>
  <c r="BW69" i="14"/>
  <c r="BV69" i="14"/>
  <c r="BU69" i="14"/>
  <c r="BT69" i="14"/>
  <c r="CK59" i="14"/>
  <c r="CJ59" i="14"/>
  <c r="CI59" i="14"/>
  <c r="CH59" i="14"/>
  <c r="CG59" i="14"/>
  <c r="CF59" i="14"/>
  <c r="CE59" i="14"/>
  <c r="CD59" i="14"/>
  <c r="CC59" i="14"/>
  <c r="CB59" i="14"/>
  <c r="CA59" i="14"/>
  <c r="BZ59" i="14"/>
  <c r="BY59" i="14"/>
  <c r="BX59" i="14"/>
  <c r="BW59" i="14"/>
  <c r="BV59" i="14"/>
  <c r="BU59" i="14"/>
  <c r="BT59" i="14"/>
  <c r="CK54" i="14"/>
  <c r="CJ54" i="14"/>
  <c r="CI54" i="14"/>
  <c r="CH54" i="14"/>
  <c r="CG54" i="14"/>
  <c r="CF54" i="14"/>
  <c r="CE54" i="14"/>
  <c r="CD54" i="14"/>
  <c r="CC54" i="14"/>
  <c r="CB54" i="14"/>
  <c r="CA54" i="14"/>
  <c r="BZ54" i="14"/>
  <c r="BY54" i="14"/>
  <c r="BX54" i="14"/>
  <c r="BW54" i="14"/>
  <c r="BV54" i="14"/>
  <c r="BU54" i="14"/>
  <c r="BT54" i="14"/>
  <c r="CK49" i="14"/>
  <c r="CJ49" i="14"/>
  <c r="CI49" i="14"/>
  <c r="CH49" i="14"/>
  <c r="CG49" i="14"/>
  <c r="CF49" i="14"/>
  <c r="CE49" i="14"/>
  <c r="CD49" i="14"/>
  <c r="CC49" i="14"/>
  <c r="CB49" i="14"/>
  <c r="CA49" i="14"/>
  <c r="BZ49" i="14"/>
  <c r="BY49" i="14"/>
  <c r="BX49" i="14"/>
  <c r="BW49" i="14"/>
  <c r="BV49" i="14"/>
  <c r="BU49" i="14"/>
  <c r="BT49" i="14"/>
  <c r="CK44" i="14"/>
  <c r="CJ44" i="14"/>
  <c r="CI44" i="14"/>
  <c r="CH44" i="14"/>
  <c r="CG44" i="14"/>
  <c r="CF44" i="14"/>
  <c r="CE44" i="14"/>
  <c r="CD44" i="14"/>
  <c r="CC44" i="14"/>
  <c r="CB44" i="14"/>
  <c r="CA44" i="14"/>
  <c r="BZ44" i="14"/>
  <c r="BY44" i="14"/>
  <c r="BX44" i="14"/>
  <c r="BW44" i="14"/>
  <c r="BV44" i="14"/>
  <c r="BU44" i="14"/>
  <c r="BT44" i="14"/>
  <c r="CK29" i="14"/>
  <c r="CJ29" i="14"/>
  <c r="CI29" i="14"/>
  <c r="CH29" i="14"/>
  <c r="CG29" i="14"/>
  <c r="CF29" i="14"/>
  <c r="CE29" i="14"/>
  <c r="CD29" i="14"/>
  <c r="CC29" i="14"/>
  <c r="CB29" i="14"/>
  <c r="CA29" i="14"/>
  <c r="BZ29" i="14"/>
  <c r="BY29" i="14"/>
  <c r="BX29" i="14"/>
  <c r="BW29" i="14"/>
  <c r="BV29" i="14"/>
  <c r="BU29" i="14"/>
  <c r="BT29" i="14"/>
  <c r="CK14" i="14"/>
  <c r="CJ14" i="14"/>
  <c r="CI14" i="14"/>
  <c r="CH14" i="14"/>
  <c r="CG14" i="14"/>
  <c r="CF14" i="14"/>
  <c r="CE14" i="14"/>
  <c r="CD14" i="14"/>
  <c r="CC14" i="14"/>
  <c r="CB14" i="14"/>
  <c r="CA14" i="14"/>
  <c r="BZ14" i="14"/>
  <c r="BY14" i="14"/>
  <c r="BX14" i="14"/>
  <c r="BW14" i="14"/>
  <c r="BV14" i="14"/>
  <c r="BU14" i="14"/>
  <c r="BT14" i="14"/>
  <c r="BS4" i="14"/>
  <c r="CK9" i="14"/>
  <c r="CJ9" i="14"/>
  <c r="BQ4" i="14"/>
  <c r="CI9" i="14"/>
  <c r="BP4" i="14"/>
  <c r="CH9" i="14"/>
  <c r="BO4" i="14"/>
  <c r="CG9" i="14"/>
  <c r="CF9" i="14"/>
  <c r="BM4" i="14"/>
  <c r="CE9" i="14"/>
  <c r="BL4" i="14"/>
  <c r="CD9" i="14"/>
  <c r="BK4" i="14"/>
  <c r="CC9" i="14"/>
  <c r="CB9" i="14"/>
  <c r="CA9" i="14"/>
  <c r="BH4" i="14"/>
  <c r="BZ9" i="14"/>
  <c r="BG4" i="14"/>
  <c r="BY9" i="14"/>
  <c r="BX9" i="14"/>
  <c r="BW9" i="14"/>
  <c r="BV9" i="14"/>
  <c r="BU9" i="14"/>
  <c r="BT9" i="14"/>
  <c r="CK4" i="14"/>
  <c r="CJ4" i="14"/>
  <c r="CI4" i="14"/>
  <c r="CH4" i="14"/>
  <c r="CG4" i="14"/>
  <c r="CF4" i="14"/>
  <c r="CE4" i="14"/>
  <c r="CD4" i="14"/>
  <c r="CC4" i="14"/>
  <c r="CB4" i="14"/>
  <c r="CA4" i="14"/>
  <c r="BZ4" i="14"/>
  <c r="BY4" i="14"/>
  <c r="BX4" i="14"/>
  <c r="BW4" i="14"/>
  <c r="BV4" i="14"/>
  <c r="BU4" i="14"/>
  <c r="BT4" i="14"/>
  <c r="AN4" i="14"/>
  <c r="AM4" i="14"/>
  <c r="AL4" i="14"/>
  <c r="AH99" i="14"/>
  <c r="AG99" i="14"/>
  <c r="AF99" i="14"/>
  <c r="AE99" i="14"/>
  <c r="AH94" i="14"/>
  <c r="AG94" i="14"/>
  <c r="AF94" i="14"/>
  <c r="AE94" i="14"/>
  <c r="AH89" i="14"/>
  <c r="AG89" i="14"/>
  <c r="AF89" i="14"/>
  <c r="AE89" i="14"/>
  <c r="AH84" i="14"/>
  <c r="AG84" i="14"/>
  <c r="AF84" i="14"/>
  <c r="AE84" i="14"/>
  <c r="AH79" i="14"/>
  <c r="AG79" i="14"/>
  <c r="AF79" i="14"/>
  <c r="AE79" i="14"/>
  <c r="AH74" i="14"/>
  <c r="AG74" i="14"/>
  <c r="AF74" i="14"/>
  <c r="AE74" i="14"/>
  <c r="AH69" i="14"/>
  <c r="AG69" i="14"/>
  <c r="AF69" i="14"/>
  <c r="AE69" i="14"/>
  <c r="AH59" i="14"/>
  <c r="AG59" i="14"/>
  <c r="AF59" i="14"/>
  <c r="AE59" i="14"/>
  <c r="AH54" i="14"/>
  <c r="AG54" i="14"/>
  <c r="AF54" i="14"/>
  <c r="AE54" i="14"/>
  <c r="AH49" i="14"/>
  <c r="AG49" i="14"/>
  <c r="AF49" i="14"/>
  <c r="AE49" i="14"/>
  <c r="AH44" i="14"/>
  <c r="AG44" i="14"/>
  <c r="AF44" i="14"/>
  <c r="AE44" i="14"/>
  <c r="AH29" i="14"/>
  <c r="AG29" i="14"/>
  <c r="AF29" i="14"/>
  <c r="AE29" i="14"/>
  <c r="AH14" i="14"/>
  <c r="AG14" i="14"/>
  <c r="AF14" i="14"/>
  <c r="AE14" i="14"/>
  <c r="AH9" i="14"/>
  <c r="AG9" i="14"/>
  <c r="AF9" i="14"/>
  <c r="AE9" i="14"/>
  <c r="AH4" i="14"/>
  <c r="AG4" i="14"/>
  <c r="AF4" i="14"/>
  <c r="AE4" i="14"/>
  <c r="Z99" i="14"/>
  <c r="Y99" i="14"/>
  <c r="Z94" i="14"/>
  <c r="Y94" i="14"/>
  <c r="Z89" i="14"/>
  <c r="Y89" i="14"/>
  <c r="Z84" i="14"/>
  <c r="Y84" i="14"/>
  <c r="Z79" i="14"/>
  <c r="Y79" i="14"/>
  <c r="Z74" i="14"/>
  <c r="Y74" i="14"/>
  <c r="Z69" i="14"/>
  <c r="Y69" i="14"/>
  <c r="Z59" i="14"/>
  <c r="Y59" i="14"/>
  <c r="Z54" i="14"/>
  <c r="Y54" i="14"/>
  <c r="Z49" i="14"/>
  <c r="Y49" i="14"/>
  <c r="Z44" i="14"/>
  <c r="Y44" i="14"/>
  <c r="Z29" i="14"/>
  <c r="Y29" i="14"/>
  <c r="Z14" i="14"/>
  <c r="Y14" i="14"/>
  <c r="Z9" i="14"/>
  <c r="Y9" i="14"/>
  <c r="Z4" i="14"/>
  <c r="Y4" i="14"/>
  <c r="T99" i="14"/>
  <c r="S99" i="14"/>
  <c r="R99" i="14"/>
  <c r="T94" i="14"/>
  <c r="S94" i="14"/>
  <c r="R94" i="14"/>
  <c r="T89" i="14"/>
  <c r="S89" i="14"/>
  <c r="R89" i="14"/>
  <c r="T84" i="14"/>
  <c r="S84" i="14"/>
  <c r="R84" i="14"/>
  <c r="T79" i="14"/>
  <c r="S79" i="14"/>
  <c r="R79" i="14"/>
  <c r="T74" i="14"/>
  <c r="S74" i="14"/>
  <c r="R74" i="14"/>
  <c r="T69" i="14"/>
  <c r="S69" i="14"/>
  <c r="R69" i="14"/>
  <c r="T59" i="14"/>
  <c r="S59" i="14"/>
  <c r="R59" i="14"/>
  <c r="T54" i="14"/>
  <c r="S54" i="14"/>
  <c r="R54" i="14"/>
  <c r="T49" i="14"/>
  <c r="S49" i="14"/>
  <c r="R49" i="14"/>
  <c r="T44" i="14"/>
  <c r="S44" i="14"/>
  <c r="R44" i="14"/>
  <c r="T29" i="14"/>
  <c r="S29" i="14"/>
  <c r="R29" i="14"/>
  <c r="T14" i="14"/>
  <c r="S14" i="14"/>
  <c r="R14" i="14"/>
  <c r="T9" i="14"/>
  <c r="S9" i="14"/>
  <c r="R9" i="14"/>
  <c r="T4" i="14"/>
  <c r="S4" i="14"/>
  <c r="R4" i="14"/>
  <c r="N99" i="14"/>
  <c r="M99" i="14"/>
  <c r="L99" i="14"/>
  <c r="K99" i="14"/>
  <c r="N94" i="14"/>
  <c r="M94" i="14"/>
  <c r="L94" i="14"/>
  <c r="K94" i="14"/>
  <c r="N89" i="14"/>
  <c r="M89" i="14"/>
  <c r="L89" i="14"/>
  <c r="K89" i="14"/>
  <c r="N84" i="14"/>
  <c r="M84" i="14"/>
  <c r="L84" i="14"/>
  <c r="K84" i="14"/>
  <c r="N79" i="14"/>
  <c r="M79" i="14"/>
  <c r="L79" i="14"/>
  <c r="K79" i="14"/>
  <c r="N74" i="14"/>
  <c r="M74" i="14"/>
  <c r="L74" i="14"/>
  <c r="K74" i="14"/>
  <c r="N69" i="14"/>
  <c r="M69" i="14"/>
  <c r="L69" i="14"/>
  <c r="K69" i="14"/>
  <c r="N59" i="14"/>
  <c r="M59" i="14"/>
  <c r="L59" i="14"/>
  <c r="K59" i="14"/>
  <c r="N54" i="14"/>
  <c r="M54" i="14"/>
  <c r="L54" i="14"/>
  <c r="K54" i="14"/>
  <c r="N49" i="14"/>
  <c r="M49" i="14"/>
  <c r="L49" i="14"/>
  <c r="K49" i="14"/>
  <c r="N44" i="14"/>
  <c r="M44" i="14"/>
  <c r="L44" i="14"/>
  <c r="K44" i="14"/>
  <c r="N29" i="14"/>
  <c r="M29" i="14"/>
  <c r="L29" i="14"/>
  <c r="K29" i="14"/>
  <c r="N14" i="14"/>
  <c r="M14" i="14"/>
  <c r="L14" i="14"/>
  <c r="K14" i="14"/>
  <c r="N9" i="14"/>
  <c r="M9" i="14"/>
  <c r="L9" i="14"/>
  <c r="K9" i="14"/>
  <c r="N4" i="14"/>
  <c r="M4" i="14"/>
  <c r="L4" i="14"/>
  <c r="K4" i="14"/>
  <c r="F99" i="14"/>
  <c r="F94" i="14"/>
  <c r="F89" i="14"/>
  <c r="F84" i="14"/>
  <c r="F79" i="14"/>
  <c r="F74" i="14"/>
  <c r="F69" i="14"/>
  <c r="F59" i="14"/>
  <c r="F49" i="14"/>
  <c r="F44" i="14"/>
  <c r="F29" i="14"/>
  <c r="F14" i="14"/>
  <c r="F9" i="14"/>
  <c r="F4" i="14"/>
  <c r="BJ4" i="14"/>
  <c r="BN4" i="14"/>
  <c r="BB4" i="14"/>
  <c r="AQ84" i="14" l="1"/>
  <c r="AQ99" i="14"/>
  <c r="AP29" i="14"/>
  <c r="G74" i="14"/>
  <c r="AP59" i="14"/>
  <c r="AQ4" i="14"/>
  <c r="AQ34" i="14"/>
  <c r="AQ59" i="14"/>
  <c r="AQ64" i="14"/>
  <c r="AP9" i="14"/>
  <c r="AP19" i="14"/>
  <c r="AP24" i="14"/>
  <c r="AP4" i="14"/>
  <c r="AP94" i="14"/>
  <c r="AO94" i="14" s="1"/>
  <c r="AP39" i="14"/>
  <c r="AQ19" i="14"/>
  <c r="AQ29" i="14"/>
  <c r="AP34" i="14"/>
  <c r="I4" i="14"/>
  <c r="G4" i="14"/>
  <c r="H9" i="14"/>
  <c r="E9" i="14"/>
  <c r="J9" i="14"/>
  <c r="G14" i="14"/>
  <c r="I14" i="14"/>
  <c r="E19" i="14"/>
  <c r="J19" i="14"/>
  <c r="I24" i="14"/>
  <c r="G24" i="14"/>
  <c r="H29" i="14"/>
  <c r="E29" i="14"/>
  <c r="J29" i="14"/>
  <c r="G34" i="14"/>
  <c r="I34" i="14"/>
  <c r="H39" i="14"/>
  <c r="I44" i="14"/>
  <c r="G44" i="14"/>
  <c r="H49" i="14"/>
  <c r="E49" i="14"/>
  <c r="H54" i="14"/>
  <c r="I59" i="14"/>
  <c r="G59" i="14"/>
  <c r="H64" i="14"/>
  <c r="E64" i="14"/>
  <c r="J64" i="14"/>
  <c r="G69" i="14"/>
  <c r="I69" i="14"/>
  <c r="E74" i="14"/>
  <c r="J74" i="14"/>
  <c r="H74" i="14"/>
  <c r="I79" i="14"/>
  <c r="G79" i="14"/>
  <c r="H84" i="14"/>
  <c r="E84" i="14"/>
  <c r="G89" i="14"/>
  <c r="I89" i="14"/>
  <c r="E94" i="14"/>
  <c r="J94" i="14"/>
  <c r="H94" i="14"/>
  <c r="I99" i="14"/>
  <c r="G99" i="14"/>
  <c r="U4" i="14"/>
  <c r="U9" i="14"/>
  <c r="U14" i="14"/>
  <c r="U19" i="14"/>
  <c r="U24" i="14"/>
  <c r="U29" i="14"/>
  <c r="U34" i="14"/>
  <c r="U39" i="14"/>
  <c r="U44" i="14"/>
  <c r="U54" i="14"/>
  <c r="U59" i="14"/>
  <c r="U64" i="14"/>
  <c r="U69" i="14"/>
  <c r="U74" i="14"/>
  <c r="U79" i="14"/>
  <c r="U84" i="14"/>
  <c r="U89" i="14"/>
  <c r="U94" i="14"/>
  <c r="U99" i="14"/>
  <c r="AA102" i="14"/>
  <c r="J49" i="14"/>
  <c r="G54" i="14"/>
  <c r="I54" i="14"/>
  <c r="E59" i="14"/>
  <c r="J59" i="14"/>
  <c r="H59" i="14"/>
  <c r="I64" i="14"/>
  <c r="G64" i="14"/>
  <c r="H69" i="14"/>
  <c r="E69" i="14"/>
  <c r="J69" i="14"/>
  <c r="I74" i="14"/>
  <c r="E79" i="14"/>
  <c r="J79" i="14"/>
  <c r="H79" i="14"/>
  <c r="I84" i="14"/>
  <c r="G84" i="14"/>
  <c r="H89" i="14"/>
  <c r="E89" i="14"/>
  <c r="E99" i="14"/>
  <c r="J99" i="14"/>
  <c r="H99" i="14"/>
  <c r="V4" i="14"/>
  <c r="V9" i="14"/>
  <c r="V14" i="14"/>
  <c r="V19" i="14"/>
  <c r="V24" i="14"/>
  <c r="V29" i="14"/>
  <c r="V34" i="14"/>
  <c r="V39" i="14"/>
  <c r="V44" i="14"/>
  <c r="V54" i="14"/>
  <c r="V64" i="14"/>
  <c r="V69" i="14"/>
  <c r="V74" i="14"/>
  <c r="V79" i="14"/>
  <c r="V84" i="14"/>
  <c r="V89" i="14"/>
  <c r="V94" i="14"/>
  <c r="V99" i="14"/>
  <c r="AS99" i="14"/>
  <c r="AO99" i="14" s="1"/>
  <c r="U49" i="14"/>
  <c r="V49" i="14"/>
  <c r="V59" i="14"/>
  <c r="AR14" i="14"/>
  <c r="AO14" i="14" s="1"/>
  <c r="J84" i="14"/>
  <c r="O89" i="14"/>
  <c r="AO6" i="14"/>
  <c r="AO41" i="14"/>
  <c r="AO43" i="14"/>
  <c r="AO48" i="14"/>
  <c r="AO71" i="14"/>
  <c r="AO72" i="14"/>
  <c r="AO86" i="14"/>
  <c r="AO92" i="14"/>
  <c r="AO97" i="14"/>
  <c r="AO98" i="14"/>
  <c r="AX4" i="14"/>
  <c r="AS19" i="14"/>
  <c r="AS34" i="14"/>
  <c r="H19" i="14"/>
  <c r="E39" i="14"/>
  <c r="X37" i="14"/>
  <c r="W37" i="14" s="1"/>
  <c r="O4" i="14"/>
  <c r="Q9" i="14"/>
  <c r="O9" i="14"/>
  <c r="O14" i="14"/>
  <c r="P14" i="14"/>
  <c r="Q19" i="14"/>
  <c r="P19" i="14"/>
  <c r="Q24" i="14"/>
  <c r="P29" i="14"/>
  <c r="O34" i="14"/>
  <c r="P34" i="14"/>
  <c r="Q39" i="14"/>
  <c r="O39" i="14"/>
  <c r="Q44" i="14"/>
  <c r="O44" i="14"/>
  <c r="Q49" i="14"/>
  <c r="O49" i="14"/>
  <c r="P49" i="14"/>
  <c r="Q54" i="14"/>
  <c r="O59" i="14"/>
  <c r="P59" i="14"/>
  <c r="O64" i="14"/>
  <c r="P64" i="14"/>
  <c r="O74" i="14"/>
  <c r="P74" i="14"/>
  <c r="O79" i="14"/>
  <c r="P79" i="14"/>
  <c r="O84" i="14"/>
  <c r="Q89" i="14"/>
  <c r="Q94" i="14"/>
  <c r="O94" i="14"/>
  <c r="P94" i="14"/>
  <c r="O99" i="14"/>
  <c r="AS74" i="14"/>
  <c r="AO74" i="14" s="1"/>
  <c r="AC45" i="14"/>
  <c r="AO5" i="14"/>
  <c r="AO7" i="14"/>
  <c r="AY4" i="14"/>
  <c r="AO10" i="14"/>
  <c r="AO13" i="14"/>
  <c r="AO16" i="14"/>
  <c r="AO18" i="14"/>
  <c r="AO21" i="14"/>
  <c r="AO22" i="14"/>
  <c r="AO23" i="14"/>
  <c r="AO27" i="14"/>
  <c r="AO28" i="14"/>
  <c r="AO30" i="14"/>
  <c r="AO31" i="14"/>
  <c r="AO32" i="14"/>
  <c r="AO33" i="14"/>
  <c r="AO36" i="14"/>
  <c r="AO38" i="14"/>
  <c r="AO40" i="14"/>
  <c r="AO45" i="14"/>
  <c r="AO47" i="14"/>
  <c r="AO51" i="14"/>
  <c r="AO53" i="14"/>
  <c r="AO55" i="14"/>
  <c r="AO56" i="14"/>
  <c r="AO61" i="14"/>
  <c r="AO62" i="14"/>
  <c r="AO63" i="14"/>
  <c r="AO66" i="14"/>
  <c r="AO68" i="14"/>
  <c r="AO73" i="14"/>
  <c r="AO75" i="14"/>
  <c r="AO77" i="14"/>
  <c r="AO78" i="14"/>
  <c r="AO83" i="14"/>
  <c r="AO85" i="14"/>
  <c r="AO87" i="14"/>
  <c r="AO88" i="14"/>
  <c r="AO90" i="14"/>
  <c r="AO91" i="14"/>
  <c r="AO100" i="14"/>
  <c r="AO103" i="14"/>
  <c r="AR4" i="14"/>
  <c r="AO4" i="14" s="1"/>
  <c r="AR89" i="14"/>
  <c r="AO89" i="14" s="1"/>
  <c r="AO65" i="14"/>
  <c r="AO70" i="14"/>
  <c r="J89" i="14"/>
  <c r="G94" i="14"/>
  <c r="I94" i="14"/>
  <c r="AO84" i="14"/>
  <c r="AR9" i="14"/>
  <c r="AO9" i="14" s="1"/>
  <c r="AR39" i="14"/>
  <c r="AO39" i="14" s="1"/>
  <c r="AR54" i="14"/>
  <c r="AO54" i="14" s="1"/>
  <c r="AO35" i="14"/>
  <c r="AR44" i="14"/>
  <c r="AO44" i="14" s="1"/>
  <c r="AB43" i="14"/>
  <c r="P4" i="14"/>
  <c r="Q4" i="14"/>
  <c r="P9" i="14"/>
  <c r="Q14" i="14"/>
  <c r="O19" i="14"/>
  <c r="O24" i="14"/>
  <c r="P24" i="14"/>
  <c r="O29" i="14"/>
  <c r="Q29" i="14"/>
  <c r="Q34" i="14"/>
  <c r="P39" i="14"/>
  <c r="P44" i="14"/>
  <c r="O54" i="14"/>
  <c r="P54" i="14"/>
  <c r="Q59" i="14"/>
  <c r="Q64" i="14"/>
  <c r="O69" i="14"/>
  <c r="P69" i="14"/>
  <c r="Q69" i="14"/>
  <c r="Q74" i="14"/>
  <c r="Q79" i="14"/>
  <c r="P84" i="14"/>
  <c r="Q84" i="14"/>
  <c r="P89" i="14"/>
  <c r="P99" i="14"/>
  <c r="Q99" i="14"/>
  <c r="AO8" i="14"/>
  <c r="AO11" i="14"/>
  <c r="AO12" i="14"/>
  <c r="AO17" i="14"/>
  <c r="AO25" i="14"/>
  <c r="AO26" i="14"/>
  <c r="AO37" i="14"/>
  <c r="AO42" i="14"/>
  <c r="AO46" i="14"/>
  <c r="AO52" i="14"/>
  <c r="AO57" i="14"/>
  <c r="AO58" i="14"/>
  <c r="AO60" i="14"/>
  <c r="AO67" i="14"/>
  <c r="AO76" i="14"/>
  <c r="AO80" i="14"/>
  <c r="AO81" i="14"/>
  <c r="AO82" i="14"/>
  <c r="AO93" i="14"/>
  <c r="AO96" i="14"/>
  <c r="AO101" i="14"/>
  <c r="AO102" i="14"/>
  <c r="AO29" i="14"/>
  <c r="AO95" i="14"/>
  <c r="AS59" i="14"/>
  <c r="AO59" i="14" s="1"/>
  <c r="AO15" i="14"/>
  <c r="AO20" i="14"/>
  <c r="AS24" i="14"/>
  <c r="AO24" i="14" s="1"/>
  <c r="AO50" i="14"/>
  <c r="AO79" i="14"/>
  <c r="E4" i="14"/>
  <c r="AC20" i="14"/>
  <c r="I29" i="14"/>
  <c r="J44" i="14"/>
  <c r="AO49" i="14"/>
  <c r="AO64" i="14"/>
  <c r="X101" i="14"/>
  <c r="W101" i="14" s="1"/>
  <c r="AD97" i="14"/>
  <c r="AB95" i="14"/>
  <c r="AB92" i="14"/>
  <c r="AC88" i="14"/>
  <c r="AB85" i="14"/>
  <c r="AC78" i="14"/>
  <c r="AA76" i="14"/>
  <c r="AB72" i="14"/>
  <c r="X67" i="14"/>
  <c r="W67" i="14" s="1"/>
  <c r="AC63" i="14"/>
  <c r="AA61" i="14"/>
  <c r="AA53" i="14"/>
  <c r="AD51" i="14"/>
  <c r="X51" i="14"/>
  <c r="W51" i="14" s="1"/>
  <c r="X50" i="14"/>
  <c r="AC47" i="14"/>
  <c r="AA45" i="14"/>
  <c r="AC43" i="14"/>
  <c r="X38" i="14"/>
  <c r="W38" i="14" s="1"/>
  <c r="AA37" i="14"/>
  <c r="AD33" i="14"/>
  <c r="X33" i="14"/>
  <c r="W33" i="14" s="1"/>
  <c r="X32" i="14"/>
  <c r="W32" i="14" s="1"/>
  <c r="X31" i="14"/>
  <c r="W31" i="14" s="1"/>
  <c r="X30" i="14"/>
  <c r="AA28" i="14"/>
  <c r="AB26" i="14"/>
  <c r="X25" i="14"/>
  <c r="AD18" i="14"/>
  <c r="AC16" i="14"/>
  <c r="AB13" i="14"/>
  <c r="AC12" i="14"/>
  <c r="AB11" i="14"/>
  <c r="AC10" i="14"/>
  <c r="AA6" i="14"/>
  <c r="AA55" i="14"/>
  <c r="AA47" i="14"/>
  <c r="AB42" i="14"/>
  <c r="AB17" i="14"/>
  <c r="AC46" i="14"/>
  <c r="AD40" i="14"/>
  <c r="AC41" i="14"/>
  <c r="AD23" i="14"/>
  <c r="AD7" i="14"/>
  <c r="AB102" i="14"/>
  <c r="AA100" i="14"/>
  <c r="AA97" i="14"/>
  <c r="AA92" i="14"/>
  <c r="AA88" i="14"/>
  <c r="AB86" i="14"/>
  <c r="AA83" i="14"/>
  <c r="AB77" i="14"/>
  <c r="AB73" i="14"/>
  <c r="AB68" i="14"/>
  <c r="AB66" i="14"/>
  <c r="AA62" i="14"/>
  <c r="X60" i="14"/>
  <c r="X65" i="14"/>
  <c r="AA101" i="14"/>
  <c r="AC98" i="14"/>
  <c r="AA96" i="14"/>
  <c r="AA93" i="14"/>
  <c r="AA90" i="14"/>
  <c r="AA86" i="14"/>
  <c r="AB80" i="14"/>
  <c r="AB76" i="14"/>
  <c r="AD72" i="14"/>
  <c r="AB70" i="14"/>
  <c r="AD67" i="14"/>
  <c r="AA65" i="14"/>
  <c r="X62" i="14"/>
  <c r="W62" i="14" s="1"/>
  <c r="X56" i="14"/>
  <c r="W56" i="14" s="1"/>
  <c r="AB53" i="14"/>
  <c r="AB52" i="14"/>
  <c r="AA51" i="14"/>
  <c r="AB50" i="14"/>
  <c r="AA48" i="14"/>
  <c r="AD43" i="14"/>
  <c r="X42" i="14"/>
  <c r="W42" i="14" s="1"/>
  <c r="X40" i="14"/>
  <c r="AA38" i="14"/>
  <c r="AB37" i="14"/>
  <c r="AA33" i="14"/>
  <c r="AA31" i="14"/>
  <c r="AI31" i="14" s="1"/>
  <c r="AB28" i="14"/>
  <c r="AA27" i="14"/>
  <c r="AA25" i="14"/>
  <c r="X23" i="14"/>
  <c r="W23" i="14" s="1"/>
  <c r="X22" i="14"/>
  <c r="W22" i="14" s="1"/>
  <c r="X21" i="14"/>
  <c r="W21" i="14" s="1"/>
  <c r="AA20" i="14"/>
  <c r="X18" i="14"/>
  <c r="W18" i="14" s="1"/>
  <c r="AD10" i="14"/>
  <c r="X10" i="14"/>
  <c r="AC6" i="14"/>
  <c r="X5" i="14"/>
  <c r="AB57" i="14"/>
  <c r="AB41" i="14"/>
  <c r="X43" i="14"/>
  <c r="W43" i="14" s="1"/>
  <c r="AD13" i="14"/>
  <c r="AD45" i="14"/>
  <c r="AC52" i="14"/>
  <c r="AC30" i="14"/>
  <c r="AC26" i="14"/>
  <c r="AD22" i="14"/>
  <c r="AC17" i="14"/>
  <c r="AA103" i="14"/>
  <c r="AB97" i="14"/>
  <c r="AA95" i="14"/>
  <c r="AB88" i="14"/>
  <c r="AB83" i="14"/>
  <c r="AB81" i="14"/>
  <c r="AA78" i="14"/>
  <c r="AA75" i="14"/>
  <c r="AA70" i="14"/>
  <c r="AB62" i="14"/>
  <c r="AB8" i="14"/>
  <c r="AC93" i="14"/>
  <c r="X87" i="14"/>
  <c r="W87" i="14" s="1"/>
  <c r="AB78" i="14"/>
  <c r="AA72" i="14"/>
  <c r="AD62" i="14"/>
  <c r="AB51" i="14"/>
  <c r="AB48" i="14"/>
  <c r="AA40" i="14"/>
  <c r="AC37" i="14"/>
  <c r="AA35" i="14"/>
  <c r="AB32" i="14"/>
  <c r="AD30" i="14"/>
  <c r="AB21" i="14"/>
  <c r="X16" i="14"/>
  <c r="W16" i="14" s="1"/>
  <c r="X13" i="14"/>
  <c r="W13" i="14" s="1"/>
  <c r="X11" i="14"/>
  <c r="W11" i="14" s="1"/>
  <c r="AA8" i="14"/>
  <c r="AA5" i="14"/>
  <c r="AA57" i="14"/>
  <c r="X58" i="14"/>
  <c r="W58" i="14" s="1"/>
  <c r="AA42" i="14"/>
  <c r="X41" i="14"/>
  <c r="W41" i="14" s="1"/>
  <c r="AD41" i="14"/>
  <c r="AC25" i="14"/>
  <c r="AD16" i="14"/>
  <c r="AB98" i="14"/>
  <c r="AB91" i="14"/>
  <c r="AA85" i="14"/>
  <c r="AA80" i="14"/>
  <c r="AA73" i="14"/>
  <c r="X61" i="14"/>
  <c r="W61" i="14" s="1"/>
  <c r="X68" i="14"/>
  <c r="W68" i="14" s="1"/>
  <c r="X73" i="14"/>
  <c r="W73" i="14" s="1"/>
  <c r="AD65" i="14"/>
  <c r="AD60" i="14"/>
  <c r="X100" i="14"/>
  <c r="AC102" i="14"/>
  <c r="AD98" i="14"/>
  <c r="X96" i="14"/>
  <c r="W96" i="14" s="1"/>
  <c r="X90" i="14"/>
  <c r="X92" i="14"/>
  <c r="W92" i="14" s="1"/>
  <c r="AC90" i="14"/>
  <c r="AD86" i="14"/>
  <c r="X86" i="14"/>
  <c r="W86" i="14" s="1"/>
  <c r="AD80" i="14"/>
  <c r="X81" i="14"/>
  <c r="W81" i="14" s="1"/>
  <c r="X83" i="14"/>
  <c r="W83" i="14" s="1"/>
  <c r="AC82" i="14"/>
  <c r="AD76" i="14"/>
  <c r="X76" i="14"/>
  <c r="W76" i="14" s="1"/>
  <c r="AC65" i="14"/>
  <c r="B3" i="16"/>
  <c r="AD12" i="14"/>
  <c r="AD47" i="14"/>
  <c r="X72" i="14"/>
  <c r="W72" i="14" s="1"/>
  <c r="AC5" i="14"/>
  <c r="AB96" i="14"/>
  <c r="AA91" i="14"/>
  <c r="AA81" i="14"/>
  <c r="AC73" i="14"/>
  <c r="AA68" i="14"/>
  <c r="AA63" i="14"/>
  <c r="AD53" i="14"/>
  <c r="X45" i="14"/>
  <c r="AC35" i="14"/>
  <c r="AC32" i="14"/>
  <c r="AC27" i="14"/>
  <c r="AC21" i="14"/>
  <c r="AC18" i="14"/>
  <c r="AA13" i="14"/>
  <c r="AA11" i="14"/>
  <c r="AC8" i="14"/>
  <c r="AD5" i="14"/>
  <c r="AB46" i="14"/>
  <c r="AA22" i="14"/>
  <c r="AD56" i="14"/>
  <c r="AC50" i="14"/>
  <c r="AB101" i="14"/>
  <c r="AA87" i="14"/>
  <c r="AA82" i="14"/>
  <c r="AA67" i="14"/>
  <c r="AA60" i="14"/>
  <c r="X71" i="14"/>
  <c r="W71" i="14" s="1"/>
  <c r="AD73" i="14"/>
  <c r="AD103" i="14"/>
  <c r="X102" i="14"/>
  <c r="W102" i="14" s="1"/>
  <c r="AC101" i="14"/>
  <c r="AD96" i="14"/>
  <c r="AC95" i="14"/>
  <c r="AD93" i="14"/>
  <c r="AC85" i="14"/>
  <c r="X80" i="14"/>
  <c r="AC81" i="14"/>
  <c r="AD75" i="14"/>
  <c r="AC75" i="14"/>
  <c r="AC72" i="14"/>
  <c r="AC67" i="14"/>
  <c r="AC62" i="14"/>
  <c r="AC83" i="14"/>
  <c r="X27" i="14"/>
  <c r="W27" i="14" s="1"/>
  <c r="AB15" i="14"/>
  <c r="X47" i="14"/>
  <c r="W47" i="14" s="1"/>
  <c r="AC68" i="14"/>
  <c r="AD87" i="14"/>
  <c r="X97" i="14"/>
  <c r="W97" i="14" s="1"/>
  <c r="AD82" i="14"/>
  <c r="AC58" i="14"/>
  <c r="X53" i="14"/>
  <c r="W53" i="14" s="1"/>
  <c r="AB33" i="14"/>
  <c r="AC28" i="14"/>
  <c r="AB22" i="14"/>
  <c r="AD11" i="14"/>
  <c r="AA7" i="14"/>
  <c r="AC56" i="14"/>
  <c r="AB82" i="14"/>
  <c r="AB67" i="14"/>
  <c r="X66" i="14"/>
  <c r="W66" i="14" s="1"/>
  <c r="AD71" i="14"/>
  <c r="AD63" i="14"/>
  <c r="AD101" i="14"/>
  <c r="AC100" i="14"/>
  <c r="X95" i="14"/>
  <c r="X91" i="14"/>
  <c r="W91" i="14" s="1"/>
  <c r="AC92" i="14"/>
  <c r="AD85" i="14"/>
  <c r="X88" i="14"/>
  <c r="W88" i="14" s="1"/>
  <c r="AD81" i="14"/>
  <c r="AD78" i="14"/>
  <c r="AC76" i="14"/>
  <c r="AC70" i="14"/>
  <c r="AC60" i="14"/>
  <c r="AD92" i="14"/>
  <c r="AD102" i="14"/>
  <c r="AD32" i="14"/>
  <c r="AA56" i="14"/>
  <c r="AI56" i="14" s="1"/>
  <c r="AD27" i="14"/>
  <c r="AB40" i="14"/>
  <c r="AB35" i="14"/>
  <c r="AB100" i="14"/>
  <c r="AA71" i="14"/>
  <c r="AB60" i="14"/>
  <c r="AD38" i="14"/>
  <c r="AA17" i="14"/>
  <c r="AB12" i="14"/>
  <c r="AC7" i="14"/>
  <c r="AA58" i="14"/>
  <c r="AA18" i="14"/>
  <c r="AI18" i="14" s="1"/>
  <c r="AA98" i="14"/>
  <c r="AB71" i="14"/>
  <c r="X63" i="14"/>
  <c r="W63" i="14" s="1"/>
  <c r="AD70" i="14"/>
  <c r="AD61" i="14"/>
  <c r="AD100" i="14"/>
  <c r="X103" i="14"/>
  <c r="W103" i="14" s="1"/>
  <c r="X98" i="14"/>
  <c r="W98" i="14" s="1"/>
  <c r="AC91" i="14"/>
  <c r="X82" i="14"/>
  <c r="W82" i="14" s="1"/>
  <c r="X78" i="14"/>
  <c r="W78" i="14" s="1"/>
  <c r="AC66" i="14"/>
  <c r="AC103" i="14"/>
  <c r="AB6" i="14"/>
  <c r="AA26" i="14"/>
  <c r="AD20" i="14"/>
  <c r="AB90" i="14"/>
  <c r="AD91" i="14"/>
  <c r="AA66" i="14"/>
  <c r="AD36" i="14"/>
  <c r="AC15" i="14"/>
  <c r="X20" i="14"/>
  <c r="AB87" i="14"/>
  <c r="AB61" i="14"/>
  <c r="AD68" i="14"/>
  <c r="X93" i="14"/>
  <c r="W93" i="14" s="1"/>
  <c r="AD88" i="14"/>
  <c r="AC77" i="14"/>
  <c r="AC61" i="14"/>
  <c r="AA46" i="14"/>
  <c r="X52" i="14"/>
  <c r="W52" i="14" s="1"/>
  <c r="AA36" i="14"/>
  <c r="AB30" i="14"/>
  <c r="AB65" i="14"/>
  <c r="AD25" i="14"/>
  <c r="AB23" i="14"/>
  <c r="AB103" i="14"/>
  <c r="AD83" i="14"/>
  <c r="AB93" i="14"/>
  <c r="AB55" i="14"/>
  <c r="AB31" i="14"/>
  <c r="AB20" i="14"/>
  <c r="AB63" i="14"/>
  <c r="AD66" i="14"/>
  <c r="AC87" i="14"/>
  <c r="AC80" i="14"/>
  <c r="X77" i="14"/>
  <c r="W77" i="14" s="1"/>
  <c r="AC71" i="14"/>
  <c r="AA16" i="14"/>
  <c r="AD42" i="14"/>
  <c r="X7" i="14"/>
  <c r="W7" i="14" s="1"/>
  <c r="AD77" i="14"/>
  <c r="AD50" i="14"/>
  <c r="X36" i="14"/>
  <c r="W36" i="14" s="1"/>
  <c r="AA15" i="14"/>
  <c r="AC57" i="14"/>
  <c r="X70" i="14"/>
  <c r="AC96" i="14"/>
  <c r="AD90" i="14"/>
  <c r="X85" i="14"/>
  <c r="X12" i="14"/>
  <c r="W12" i="14" s="1"/>
  <c r="AC48" i="14"/>
  <c r="AB5" i="14"/>
  <c r="H4" i="14"/>
  <c r="AB7" i="14"/>
  <c r="X8" i="14"/>
  <c r="W8" i="14" s="1"/>
  <c r="G9" i="14"/>
  <c r="AA10" i="14"/>
  <c r="AC11" i="14"/>
  <c r="I9" i="14"/>
  <c r="AC13" i="14"/>
  <c r="X15" i="14"/>
  <c r="E14" i="14"/>
  <c r="AB16" i="14"/>
  <c r="H14" i="14"/>
  <c r="AD17" i="14"/>
  <c r="AA21" i="14"/>
  <c r="G19" i="14"/>
  <c r="AC22" i="14"/>
  <c r="AA23" i="14"/>
  <c r="AI23" i="14" s="1"/>
  <c r="AB25" i="14"/>
  <c r="AD26" i="14"/>
  <c r="J24" i="14"/>
  <c r="X28" i="14"/>
  <c r="W28" i="14" s="1"/>
  <c r="AA32" i="14"/>
  <c r="AC42" i="14"/>
  <c r="AD55" i="14"/>
  <c r="AC38" i="14"/>
  <c r="AC55" i="14"/>
  <c r="AD52" i="14"/>
  <c r="AD58" i="14"/>
  <c r="AD21" i="14"/>
  <c r="AC23" i="14"/>
  <c r="X75" i="14"/>
  <c r="AC86" i="14"/>
  <c r="AD95" i="14"/>
  <c r="AA77" i="14"/>
  <c r="AD31" i="14"/>
  <c r="AC36" i="14"/>
  <c r="AC31" i="14"/>
  <c r="AB75" i="14"/>
  <c r="B9" i="14"/>
  <c r="X6" i="14"/>
  <c r="W6" i="14" s="1"/>
  <c r="AD6" i="14"/>
  <c r="J4" i="14"/>
  <c r="AD8" i="14"/>
  <c r="AA12" i="14"/>
  <c r="AD15" i="14"/>
  <c r="J14" i="14"/>
  <c r="X17" i="14"/>
  <c r="W17" i="14" s="1"/>
  <c r="AB18" i="14"/>
  <c r="E24" i="14"/>
  <c r="X26" i="14"/>
  <c r="W26" i="14" s="1"/>
  <c r="AB27" i="14"/>
  <c r="AD28" i="14"/>
  <c r="AA30" i="14"/>
  <c r="G29" i="14"/>
  <c r="I19" i="14"/>
  <c r="H24" i="14"/>
  <c r="AB10" i="14"/>
  <c r="AC97" i="14"/>
  <c r="X35" i="14"/>
  <c r="E34" i="14"/>
  <c r="AB36" i="14"/>
  <c r="H34" i="14"/>
  <c r="AB38" i="14"/>
  <c r="AC40" i="14"/>
  <c r="I39" i="14"/>
  <c r="AA43" i="14"/>
  <c r="AB45" i="14"/>
  <c r="E44" i="14"/>
  <c r="X46" i="14"/>
  <c r="W46" i="14" s="1"/>
  <c r="AB47" i="14"/>
  <c r="AD48" i="14"/>
  <c r="AA50" i="14"/>
  <c r="X55" i="14"/>
  <c r="X57" i="14"/>
  <c r="W57" i="14" s="1"/>
  <c r="AB58" i="14"/>
  <c r="J54" i="14"/>
  <c r="G49" i="14"/>
  <c r="H44" i="14"/>
  <c r="AO69" i="14"/>
  <c r="AC33" i="14"/>
  <c r="AD35" i="14"/>
  <c r="AD37" i="14"/>
  <c r="AA41" i="14"/>
  <c r="G39" i="14"/>
  <c r="AD46" i="14"/>
  <c r="X48" i="14"/>
  <c r="W48" i="14" s="1"/>
  <c r="AC51" i="14"/>
  <c r="I49" i="14"/>
  <c r="AA52" i="14"/>
  <c r="AC53" i="14"/>
  <c r="AB56" i="14"/>
  <c r="AD57" i="14"/>
  <c r="E54" i="14"/>
  <c r="J34" i="14"/>
  <c r="AO34" i="14" l="1"/>
  <c r="AO19" i="14"/>
  <c r="AI37" i="14"/>
  <c r="AI22" i="14"/>
  <c r="AI11" i="14"/>
  <c r="AI12" i="14"/>
  <c r="AI58" i="14"/>
  <c r="AC44" i="14"/>
  <c r="AI67" i="14"/>
  <c r="AI52" i="14"/>
  <c r="AD94" i="14"/>
  <c r="AD69" i="14"/>
  <c r="AI87" i="14"/>
  <c r="AI81" i="14"/>
  <c r="AI41" i="14"/>
  <c r="AI43" i="14"/>
  <c r="AI102" i="14"/>
  <c r="AI32" i="14"/>
  <c r="AI16" i="14"/>
  <c r="AI38" i="14"/>
  <c r="AC79" i="14"/>
  <c r="AD99" i="14"/>
  <c r="AI68" i="14"/>
  <c r="AI42" i="14"/>
  <c r="AI62" i="14"/>
  <c r="AC39" i="14"/>
  <c r="AI13" i="14"/>
  <c r="AI101" i="14"/>
  <c r="AI46" i="14"/>
  <c r="AD84" i="14"/>
  <c r="AC99" i="14"/>
  <c r="AI7" i="14"/>
  <c r="AD4" i="14"/>
  <c r="AC34" i="14"/>
  <c r="AI27" i="14"/>
  <c r="AC9" i="14"/>
  <c r="AI28" i="14"/>
  <c r="AI77" i="14"/>
  <c r="AC19" i="14"/>
  <c r="B14" i="14"/>
  <c r="M19" i="14" s="1"/>
  <c r="AJ20" i="14"/>
  <c r="AK20" i="14"/>
  <c r="AB19" i="14"/>
  <c r="AC94" i="14"/>
  <c r="AA79" i="14"/>
  <c r="AI80" i="14"/>
  <c r="AI8" i="14"/>
  <c r="AJ18" i="14"/>
  <c r="AK18" i="14"/>
  <c r="AK56" i="14"/>
  <c r="AJ56" i="14"/>
  <c r="W55" i="14"/>
  <c r="W54" i="14" s="1"/>
  <c r="X54" i="14"/>
  <c r="AK36" i="14"/>
  <c r="AJ36" i="14"/>
  <c r="AJ27" i="14"/>
  <c r="AK27" i="14"/>
  <c r="AK75" i="14"/>
  <c r="AJ75" i="14"/>
  <c r="AB74" i="14"/>
  <c r="AD54" i="14"/>
  <c r="AB4" i="14"/>
  <c r="AK5" i="14"/>
  <c r="AJ5" i="14"/>
  <c r="AD89" i="14"/>
  <c r="AA14" i="14"/>
  <c r="AI15" i="14"/>
  <c r="AJ63" i="14"/>
  <c r="AK63" i="14"/>
  <c r="AJ93" i="14"/>
  <c r="AK93" i="14"/>
  <c r="AD24" i="14"/>
  <c r="AK87" i="14"/>
  <c r="AJ87" i="14"/>
  <c r="AI66" i="14"/>
  <c r="AI26" i="14"/>
  <c r="AK35" i="14"/>
  <c r="AJ35" i="14"/>
  <c r="AB34" i="14"/>
  <c r="AC69" i="14"/>
  <c r="W95" i="14"/>
  <c r="W94" i="14" s="1"/>
  <c r="X94" i="14"/>
  <c r="AD74" i="14"/>
  <c r="AA59" i="14"/>
  <c r="AI60" i="14"/>
  <c r="AK101" i="14"/>
  <c r="AJ101" i="14"/>
  <c r="AK46" i="14"/>
  <c r="AJ46" i="14"/>
  <c r="AI63" i="14"/>
  <c r="AI91" i="14"/>
  <c r="AC89" i="14"/>
  <c r="AD64" i="14"/>
  <c r="AI73" i="14"/>
  <c r="AJ98" i="14"/>
  <c r="AK98" i="14"/>
  <c r="AI5" i="14"/>
  <c r="AA4" i="14"/>
  <c r="AA34" i="14"/>
  <c r="AI35" i="14"/>
  <c r="AJ51" i="14"/>
  <c r="AK51" i="14"/>
  <c r="AI70" i="14"/>
  <c r="AA69" i="14"/>
  <c r="AK83" i="14"/>
  <c r="AJ83" i="14"/>
  <c r="AI103" i="14"/>
  <c r="AC29" i="14"/>
  <c r="AA19" i="14"/>
  <c r="AI20" i="14"/>
  <c r="AI25" i="14"/>
  <c r="AA24" i="14"/>
  <c r="AI33" i="14"/>
  <c r="AI51" i="14"/>
  <c r="AA89" i="14"/>
  <c r="AI90" i="14"/>
  <c r="AK66" i="14"/>
  <c r="AJ66" i="14"/>
  <c r="AI83" i="14"/>
  <c r="AI97" i="14"/>
  <c r="AK17" i="14"/>
  <c r="AJ17" i="14"/>
  <c r="AI6" i="14"/>
  <c r="AK13" i="14"/>
  <c r="AJ13" i="14"/>
  <c r="AK26" i="14"/>
  <c r="AJ26" i="14"/>
  <c r="W50" i="14"/>
  <c r="W49" i="14" s="1"/>
  <c r="X49" i="14"/>
  <c r="AI61" i="14"/>
  <c r="AI76" i="14"/>
  <c r="AJ92" i="14"/>
  <c r="AK92" i="14"/>
  <c r="AJ43" i="14"/>
  <c r="AA49" i="14"/>
  <c r="AI50" i="14"/>
  <c r="AB64" i="14"/>
  <c r="AJ65" i="14"/>
  <c r="AK65" i="14"/>
  <c r="W20" i="14"/>
  <c r="W19" i="14" s="1"/>
  <c r="X19" i="14"/>
  <c r="AJ60" i="14"/>
  <c r="AK60" i="14"/>
  <c r="AB59" i="14"/>
  <c r="AK96" i="14"/>
  <c r="AJ96" i="14"/>
  <c r="AD79" i="14"/>
  <c r="AI75" i="14"/>
  <c r="AA74" i="14"/>
  <c r="AK41" i="14"/>
  <c r="AJ41" i="14"/>
  <c r="W10" i="14"/>
  <c r="W9" i="14" s="1"/>
  <c r="X9" i="14"/>
  <c r="AK37" i="14"/>
  <c r="AJ37" i="14"/>
  <c r="AK52" i="14"/>
  <c r="AJ52" i="14"/>
  <c r="AI65" i="14"/>
  <c r="AA64" i="14"/>
  <c r="AJ76" i="14"/>
  <c r="AK76" i="14"/>
  <c r="AI93" i="14"/>
  <c r="W65" i="14"/>
  <c r="W64" i="14" s="1"/>
  <c r="X64" i="14"/>
  <c r="AK68" i="14"/>
  <c r="AJ68" i="14"/>
  <c r="AK86" i="14"/>
  <c r="AJ86" i="14"/>
  <c r="AI100" i="14"/>
  <c r="AA99" i="14"/>
  <c r="AJ42" i="14"/>
  <c r="AK42" i="14"/>
  <c r="AJ95" i="14"/>
  <c r="AB94" i="14"/>
  <c r="AK95" i="14"/>
  <c r="AK43" i="14"/>
  <c r="AD34" i="14"/>
  <c r="AK58" i="14"/>
  <c r="AJ58" i="14"/>
  <c r="AB44" i="14"/>
  <c r="AK45" i="14"/>
  <c r="AJ45" i="14"/>
  <c r="AK38" i="14"/>
  <c r="AJ38" i="14"/>
  <c r="W35" i="14"/>
  <c r="W34" i="14" s="1"/>
  <c r="X34" i="14"/>
  <c r="AI30" i="14"/>
  <c r="AA29" i="14"/>
  <c r="AD14" i="14"/>
  <c r="AC54" i="14"/>
  <c r="AJ25" i="14"/>
  <c r="AB24" i="14"/>
  <c r="AK25" i="14"/>
  <c r="AI21" i="14"/>
  <c r="AK7" i="14"/>
  <c r="AJ7" i="14"/>
  <c r="W70" i="14"/>
  <c r="W69" i="14" s="1"/>
  <c r="X69" i="14"/>
  <c r="AD49" i="14"/>
  <c r="AK31" i="14"/>
  <c r="AJ31" i="14"/>
  <c r="AK103" i="14"/>
  <c r="AJ103" i="14"/>
  <c r="AK30" i="14"/>
  <c r="AB29" i="14"/>
  <c r="AJ30" i="14"/>
  <c r="AC14" i="14"/>
  <c r="AB89" i="14"/>
  <c r="AJ90" i="14"/>
  <c r="AK90" i="14"/>
  <c r="AI98" i="14"/>
  <c r="AK12" i="14"/>
  <c r="AJ12" i="14"/>
  <c r="AI71" i="14"/>
  <c r="AK67" i="14"/>
  <c r="AJ67" i="14"/>
  <c r="X79" i="14"/>
  <c r="W80" i="14"/>
  <c r="W79" i="14" s="1"/>
  <c r="AI82" i="14"/>
  <c r="W45" i="14"/>
  <c r="W44" i="14" s="1"/>
  <c r="X44" i="14"/>
  <c r="AC4" i="14"/>
  <c r="X89" i="14"/>
  <c r="W90" i="14"/>
  <c r="W89" i="14" s="1"/>
  <c r="X99" i="14"/>
  <c r="W100" i="14"/>
  <c r="W99" i="14" s="1"/>
  <c r="AI85" i="14"/>
  <c r="AA84" i="14"/>
  <c r="AC24" i="14"/>
  <c r="AD29" i="14"/>
  <c r="AI40" i="14"/>
  <c r="AA39" i="14"/>
  <c r="AI72" i="14"/>
  <c r="AK8" i="14"/>
  <c r="AJ8" i="14"/>
  <c r="AI78" i="14"/>
  <c r="AI95" i="14"/>
  <c r="AA94" i="14"/>
  <c r="AD44" i="14"/>
  <c r="AK57" i="14"/>
  <c r="AJ57" i="14"/>
  <c r="AD9" i="14"/>
  <c r="AK28" i="14"/>
  <c r="AJ28" i="14"/>
  <c r="AI48" i="14"/>
  <c r="AJ53" i="14"/>
  <c r="AK53" i="14"/>
  <c r="AB79" i="14"/>
  <c r="AJ80" i="14"/>
  <c r="AK80" i="14"/>
  <c r="AI96" i="14"/>
  <c r="X59" i="14"/>
  <c r="W60" i="14"/>
  <c r="W59" i="14" s="1"/>
  <c r="AJ73" i="14"/>
  <c r="AK73" i="14"/>
  <c r="AI88" i="14"/>
  <c r="AK102" i="14"/>
  <c r="AJ102" i="14"/>
  <c r="AD39" i="14"/>
  <c r="AI47" i="14"/>
  <c r="AK11" i="14"/>
  <c r="AJ11" i="14"/>
  <c r="W30" i="14"/>
  <c r="W29" i="14" s="1"/>
  <c r="X29" i="14"/>
  <c r="AI45" i="14"/>
  <c r="AA44" i="14"/>
  <c r="AK85" i="14"/>
  <c r="AJ85" i="14"/>
  <c r="AB84" i="14"/>
  <c r="AK16" i="14"/>
  <c r="AJ16" i="14"/>
  <c r="AK6" i="14"/>
  <c r="AJ6" i="14"/>
  <c r="AK71" i="14"/>
  <c r="AJ71" i="14"/>
  <c r="AK40" i="14"/>
  <c r="AB39" i="14"/>
  <c r="AJ40" i="14"/>
  <c r="AJ33" i="14"/>
  <c r="AK33" i="14"/>
  <c r="AJ15" i="14"/>
  <c r="AK15" i="14"/>
  <c r="AB14" i="14"/>
  <c r="AC49" i="14"/>
  <c r="AJ21" i="14"/>
  <c r="AK21" i="14"/>
  <c r="AJ88" i="14"/>
  <c r="AK88" i="14"/>
  <c r="AJ47" i="14"/>
  <c r="AK47" i="14"/>
  <c r="AB9" i="14"/>
  <c r="AJ10" i="14"/>
  <c r="AK10" i="14"/>
  <c r="W75" i="14"/>
  <c r="W74" i="14" s="1"/>
  <c r="X74" i="14"/>
  <c r="W15" i="14"/>
  <c r="W14" i="14" s="1"/>
  <c r="X14" i="14"/>
  <c r="AI10" i="14"/>
  <c r="AA9" i="14"/>
  <c r="W85" i="14"/>
  <c r="W84" i="14" s="1"/>
  <c r="X84" i="14"/>
  <c r="AK55" i="14"/>
  <c r="AJ55" i="14"/>
  <c r="AB54" i="14"/>
  <c r="AJ23" i="14"/>
  <c r="AK23" i="14"/>
  <c r="AI36" i="14"/>
  <c r="AJ61" i="14"/>
  <c r="AK61" i="14"/>
  <c r="AD19" i="14"/>
  <c r="AI17" i="14"/>
  <c r="AB99" i="14"/>
  <c r="AK100" i="14"/>
  <c r="AJ100" i="14"/>
  <c r="AC59" i="14"/>
  <c r="AJ82" i="14"/>
  <c r="AK82" i="14"/>
  <c r="AJ22" i="14"/>
  <c r="AK22" i="14"/>
  <c r="AC74" i="14"/>
  <c r="AC84" i="14"/>
  <c r="AC64" i="14"/>
  <c r="AD59" i="14"/>
  <c r="AJ91" i="14"/>
  <c r="AK91" i="14"/>
  <c r="AI57" i="14"/>
  <c r="AJ32" i="14"/>
  <c r="AK32" i="14"/>
  <c r="AJ48" i="14"/>
  <c r="AK48" i="14"/>
  <c r="AK78" i="14"/>
  <c r="AJ78" i="14"/>
  <c r="AJ62" i="14"/>
  <c r="AK62" i="14"/>
  <c r="AJ81" i="14"/>
  <c r="AK81" i="14"/>
  <c r="AK97" i="14"/>
  <c r="AJ97" i="14"/>
  <c r="W5" i="14"/>
  <c r="W4" i="14" s="1"/>
  <c r="X4" i="14"/>
  <c r="W40" i="14"/>
  <c r="W39" i="14" s="1"/>
  <c r="X39" i="14"/>
  <c r="AJ50" i="14"/>
  <c r="AB49" i="14"/>
  <c r="AK50" i="14"/>
  <c r="AB69" i="14"/>
  <c r="AK70" i="14"/>
  <c r="AJ70" i="14"/>
  <c r="AI86" i="14"/>
  <c r="AJ77" i="14"/>
  <c r="AK77" i="14"/>
  <c r="AI92" i="14"/>
  <c r="AA54" i="14"/>
  <c r="AI55" i="14"/>
  <c r="X24" i="14"/>
  <c r="W25" i="14"/>
  <c r="W24" i="14" s="1"/>
  <c r="AI53" i="14"/>
  <c r="AK72" i="14"/>
  <c r="AJ72" i="14"/>
  <c r="AE39" i="14" l="1"/>
  <c r="AE34" i="14"/>
  <c r="Z39" i="14"/>
  <c r="AH39" i="14"/>
  <c r="M39" i="14"/>
  <c r="CE39" i="14"/>
  <c r="BT39" i="14"/>
  <c r="BY39" i="14"/>
  <c r="CD39" i="14"/>
  <c r="CI39" i="14"/>
  <c r="K39" i="14"/>
  <c r="S39" i="14"/>
  <c r="BX39" i="14"/>
  <c r="CG39" i="14"/>
  <c r="CK39" i="14"/>
  <c r="L39" i="14"/>
  <c r="AG39" i="14"/>
  <c r="N39" i="14"/>
  <c r="CB39" i="14"/>
  <c r="BU39" i="14"/>
  <c r="CF39" i="14"/>
  <c r="BV39" i="14"/>
  <c r="BW39" i="14"/>
  <c r="F39" i="14"/>
  <c r="Y39" i="14"/>
  <c r="AF39" i="14"/>
  <c r="T39" i="14"/>
  <c r="R39" i="14"/>
  <c r="CC39" i="14"/>
  <c r="CJ39" i="14"/>
  <c r="BZ39" i="14"/>
  <c r="CA39" i="14"/>
  <c r="CH39" i="14"/>
  <c r="BU34" i="14"/>
  <c r="BZ34" i="14"/>
  <c r="BW34" i="14"/>
  <c r="CK34" i="14"/>
  <c r="CF34" i="14"/>
  <c r="K34" i="14"/>
  <c r="AF34" i="14"/>
  <c r="BY34" i="14"/>
  <c r="CD34" i="14"/>
  <c r="CA34" i="14"/>
  <c r="BT34" i="14"/>
  <c r="CJ34" i="14"/>
  <c r="T34" i="14"/>
  <c r="Z34" i="14"/>
  <c r="AG34" i="14"/>
  <c r="M34" i="14"/>
  <c r="CC34" i="14"/>
  <c r="CH34" i="14"/>
  <c r="CE34" i="14"/>
  <c r="BX34" i="14"/>
  <c r="S34" i="14"/>
  <c r="L34" i="14"/>
  <c r="Y34" i="14"/>
  <c r="AH34" i="14"/>
  <c r="R34" i="14"/>
  <c r="BV34" i="14"/>
  <c r="CG34" i="14"/>
  <c r="CI34" i="14"/>
  <c r="CB34" i="14"/>
  <c r="F34" i="14"/>
  <c r="N34" i="14"/>
  <c r="AH19" i="14"/>
  <c r="F19" i="14"/>
  <c r="BZ19" i="14"/>
  <c r="BT19" i="14"/>
  <c r="BV19" i="14"/>
  <c r="CK19" i="14"/>
  <c r="L19" i="14"/>
  <c r="CA19" i="14"/>
  <c r="BX19" i="14"/>
  <c r="BU19" i="14"/>
  <c r="N19" i="14"/>
  <c r="K19" i="14"/>
  <c r="CE19" i="14"/>
  <c r="CB19" i="14"/>
  <c r="CC19" i="14"/>
  <c r="S19" i="14"/>
  <c r="CD19" i="14"/>
  <c r="CI19" i="14"/>
  <c r="CJ19" i="14"/>
  <c r="CG19" i="14"/>
  <c r="R19" i="14"/>
  <c r="T19" i="14"/>
  <c r="BW19" i="14"/>
  <c r="CH19" i="14"/>
  <c r="CF19" i="14"/>
  <c r="BY19" i="14"/>
  <c r="Z19" i="14"/>
  <c r="AE19" i="14"/>
  <c r="Y19" i="14"/>
  <c r="AF19" i="14"/>
  <c r="AG19" i="14"/>
  <c r="AK14" i="14"/>
  <c r="AI54" i="14"/>
  <c r="AI9" i="14"/>
  <c r="AI99" i="14"/>
  <c r="AI39" i="14"/>
  <c r="AJ49" i="14"/>
  <c r="AJ54" i="14"/>
  <c r="AI29" i="14"/>
  <c r="AK84" i="14"/>
  <c r="AI44" i="14"/>
  <c r="AK29" i="14"/>
  <c r="AK79" i="14"/>
  <c r="AJ99" i="14"/>
  <c r="AJ39" i="14"/>
  <c r="AI64" i="14"/>
  <c r="AJ89" i="14"/>
  <c r="AI94" i="14"/>
  <c r="AK54" i="14"/>
  <c r="AK89" i="14"/>
  <c r="AI49" i="14"/>
  <c r="AJ4" i="14"/>
  <c r="AJ74" i="14"/>
  <c r="AK19" i="14"/>
  <c r="AJ44" i="14"/>
  <c r="AK94" i="14"/>
  <c r="AJ59" i="14"/>
  <c r="AK64" i="14"/>
  <c r="AI59" i="14"/>
  <c r="AK9" i="14"/>
  <c r="AJ79" i="14"/>
  <c r="AJ64" i="14"/>
  <c r="AK69" i="14"/>
  <c r="AJ84" i="14"/>
  <c r="AK24" i="14"/>
  <c r="AJ94" i="14"/>
  <c r="AI24" i="14"/>
  <c r="AI69" i="14"/>
  <c r="AK34" i="14"/>
  <c r="AI14" i="14"/>
  <c r="AJ14" i="14"/>
  <c r="AK39" i="14"/>
  <c r="AN39" i="14" s="1"/>
  <c r="AI84" i="14"/>
  <c r="AJ24" i="14"/>
  <c r="AK44" i="14"/>
  <c r="AI74" i="14"/>
  <c r="AK59" i="14"/>
  <c r="AI19" i="14"/>
  <c r="AL19" i="14" s="1"/>
  <c r="AJ34" i="14"/>
  <c r="AM34" i="14" s="1"/>
  <c r="AK4" i="14"/>
  <c r="AI79" i="14"/>
  <c r="AI89" i="14"/>
  <c r="AI34" i="14"/>
  <c r="AJ69" i="14"/>
  <c r="AK49" i="14"/>
  <c r="AK99" i="14"/>
  <c r="AJ9" i="14"/>
  <c r="AJ29" i="14"/>
  <c r="AI4" i="14"/>
  <c r="AK74" i="14"/>
  <c r="AJ19" i="14"/>
  <c r="AM19" i="14" s="1"/>
  <c r="B19" i="14"/>
  <c r="Y24" i="14" s="1"/>
  <c r="AL34" i="14" l="1"/>
  <c r="AL39" i="14"/>
  <c r="AM39" i="14"/>
  <c r="AN19" i="14"/>
  <c r="AN34" i="14"/>
  <c r="AL24" i="14"/>
  <c r="CE24" i="14"/>
  <c r="CC24" i="14"/>
  <c r="BX24" i="14"/>
  <c r="M24" i="14"/>
  <c r="N24" i="14"/>
  <c r="AM24" i="14"/>
  <c r="AN24" i="14"/>
  <c r="R24" i="14"/>
  <c r="BV24" i="14"/>
  <c r="K24" i="14"/>
  <c r="CJ24" i="14"/>
  <c r="L24" i="14"/>
  <c r="BU24" i="14"/>
  <c r="CB24" i="14"/>
  <c r="AH24" i="14"/>
  <c r="BY24" i="14"/>
  <c r="BW24" i="14"/>
  <c r="Z24" i="14"/>
  <c r="BZ24" i="14"/>
  <c r="AE24" i="14"/>
  <c r="CA24" i="14"/>
  <c r="S24" i="14"/>
  <c r="CD24" i="14"/>
  <c r="T24" i="14"/>
  <c r="CG24" i="14"/>
  <c r="AF24" i="14"/>
  <c r="BT24" i="14"/>
  <c r="AG24" i="14"/>
  <c r="CH24" i="14"/>
  <c r="F24" i="14"/>
  <c r="CK24" i="14"/>
  <c r="CI24" i="14"/>
  <c r="CF24" i="14"/>
  <c r="B24" i="14"/>
  <c r="B29" i="14" l="1"/>
  <c r="B34" i="14" l="1"/>
  <c r="B39" i="14" l="1"/>
  <c r="B44" i="14" l="1"/>
  <c r="B49" i="14" l="1"/>
  <c r="B54" i="14" s="1"/>
  <c r="B59" i="14" s="1"/>
  <c r="B64" i="14" s="1"/>
  <c r="B69" i="14" s="1"/>
  <c r="B74" i="14" s="1"/>
  <c r="B79" i="14" s="1"/>
  <c r="B84" i="14" s="1"/>
  <c r="B89" i="14" s="1"/>
  <c r="B94" i="14" s="1"/>
  <c r="B99" i="14" s="1"/>
  <c r="AW14" i="14" l="1"/>
  <c r="AT44" i="14"/>
  <c r="AU29" i="14"/>
  <c r="AT14" i="14"/>
  <c r="AU74" i="14"/>
  <c r="BA49" i="14"/>
  <c r="BA99" i="14"/>
  <c r="AZ34" i="14"/>
  <c r="AU39" i="14"/>
  <c r="AW54" i="14"/>
  <c r="AV79" i="14"/>
  <c r="AU54" i="14"/>
  <c r="AV49" i="14"/>
  <c r="AZ79" i="14"/>
  <c r="AV54" i="14"/>
  <c r="AW19" i="14"/>
  <c r="BA9" i="14"/>
  <c r="AV29" i="14"/>
  <c r="AU44" i="14"/>
  <c r="AZ64" i="14"/>
  <c r="AZ89" i="14"/>
  <c r="AT39" i="14"/>
  <c r="AZ9" i="14"/>
  <c r="AT89" i="14"/>
  <c r="AT84" i="14"/>
  <c r="AV24" i="14"/>
  <c r="AW99" i="14"/>
  <c r="AW9" i="14"/>
  <c r="AV39" i="14"/>
  <c r="BA94" i="14"/>
  <c r="AU4" i="14"/>
  <c r="AV64" i="14"/>
  <c r="AW39" i="14"/>
  <c r="AU24" i="14"/>
  <c r="AT54" i="14"/>
  <c r="AZ49" i="14"/>
  <c r="BA74" i="14"/>
  <c r="BA89" i="14"/>
  <c r="AU69" i="14"/>
  <c r="BA44" i="14"/>
  <c r="AT64" i="14"/>
  <c r="AU99" i="14"/>
  <c r="AV94" i="14"/>
  <c r="AV19" i="14"/>
  <c r="AT59" i="14"/>
  <c r="AW94" i="14"/>
  <c r="AZ99" i="14"/>
  <c r="AV14" i="14"/>
  <c r="AT4" i="14"/>
  <c r="AV34" i="14"/>
  <c r="AW84" i="14"/>
  <c r="AV74" i="14"/>
  <c r="BA34" i="14"/>
  <c r="AU89" i="14"/>
  <c r="AW89" i="14"/>
  <c r="AW24" i="14"/>
  <c r="AT49" i="14"/>
  <c r="AT34" i="14"/>
  <c r="AU19" i="14"/>
  <c r="AU14" i="14"/>
  <c r="AZ59" i="14"/>
  <c r="BA84" i="14"/>
  <c r="AZ39" i="14"/>
  <c r="AT24" i="14"/>
  <c r="AT19" i="14"/>
  <c r="AV84" i="14"/>
  <c r="AZ84" i="14"/>
  <c r="AV4" i="14"/>
  <c r="BA39" i="14"/>
  <c r="AZ19" i="14"/>
  <c r="AW34" i="14"/>
  <c r="AT29" i="14"/>
  <c r="AT99" i="14"/>
  <c r="AU49" i="14"/>
  <c r="BA19" i="14"/>
  <c r="AT69" i="14"/>
  <c r="AZ74" i="14"/>
  <c r="AW29" i="14"/>
  <c r="AZ94" i="14"/>
  <c r="AV44" i="14"/>
  <c r="AV69" i="14"/>
  <c r="AU64" i="14"/>
  <c r="AU9" i="14"/>
  <c r="BA79" i="14"/>
  <c r="AT94" i="14"/>
  <c r="AZ44" i="14"/>
  <c r="AW4" i="14"/>
  <c r="AW69" i="14"/>
  <c r="AU79" i="14"/>
  <c r="AZ69" i="14"/>
  <c r="AW64" i="14"/>
  <c r="AU94" i="14"/>
  <c r="AV9" i="14"/>
  <c r="BA69" i="14"/>
  <c r="BA64" i="14"/>
  <c r="AZ54" i="14"/>
  <c r="AV59" i="14"/>
  <c r="AU34" i="14"/>
  <c r="AU84" i="14"/>
  <c r="AZ24" i="14"/>
  <c r="AT74" i="14"/>
  <c r="AW74" i="14"/>
  <c r="AW79" i="14"/>
  <c r="AV89" i="14"/>
  <c r="BA54" i="14"/>
  <c r="AZ29" i="14"/>
  <c r="AZ4" i="14"/>
  <c r="AZ14" i="14"/>
  <c r="BA4" i="14"/>
  <c r="AT79" i="14"/>
  <c r="BA59" i="14"/>
  <c r="AU59" i="14"/>
  <c r="BA29" i="14"/>
  <c r="BA14" i="14"/>
  <c r="AW49" i="14"/>
  <c r="AV99" i="14"/>
  <c r="AT9" i="14"/>
  <c r="AW44" i="14"/>
  <c r="BA24" i="14"/>
  <c r="AW59" i="14"/>
  <c r="K64" i="14" l="1"/>
  <c r="S64" i="14"/>
  <c r="L64" i="14"/>
  <c r="N64" i="14"/>
  <c r="R64" i="14"/>
  <c r="F64" i="14"/>
  <c r="M64" i="14"/>
  <c r="T64" i="14"/>
  <c r="AN64" i="14"/>
  <c r="BV64" i="14"/>
  <c r="AG64" i="14"/>
  <c r="AF64" i="14"/>
  <c r="CA64" i="14"/>
  <c r="AE64" i="14"/>
  <c r="AH64" i="14"/>
  <c r="CJ64" i="14"/>
  <c r="Z64" i="14"/>
  <c r="CC64" i="14"/>
  <c r="BY64" i="14"/>
  <c r="Y64" i="14"/>
  <c r="BU64" i="14"/>
  <c r="CD64" i="14"/>
  <c r="BZ64" i="14"/>
  <c r="CG64" i="14"/>
  <c r="BT64" i="14"/>
  <c r="CE64" i="14"/>
  <c r="CF64" i="14"/>
  <c r="BW64" i="14"/>
  <c r="CB64" i="14"/>
  <c r="BX64" i="14"/>
  <c r="CH64" i="14"/>
  <c r="CI64" i="14"/>
  <c r="CK64" i="14"/>
  <c r="AM64" i="14"/>
  <c r="AL64" i="14"/>
</calcChain>
</file>

<file path=xl/sharedStrings.xml><?xml version="1.0" encoding="utf-8"?>
<sst xmlns="http://schemas.openxmlformats.org/spreadsheetml/2006/main" count="1938" uniqueCount="138">
  <si>
    <t>C6</t>
  </si>
  <si>
    <t>C7</t>
  </si>
  <si>
    <t>C8</t>
  </si>
  <si>
    <t>C9</t>
  </si>
  <si>
    <t>C10</t>
  </si>
  <si>
    <t>C11</t>
  </si>
  <si>
    <t>C12</t>
  </si>
  <si>
    <t>C13</t>
  </si>
  <si>
    <t>C14</t>
  </si>
  <si>
    <t xml:space="preserve">Frontal Area = </t>
  </si>
  <si>
    <t xml:space="preserve">Wheelbase = </t>
  </si>
  <si>
    <t xml:space="preserve">Ceiling Front = </t>
  </si>
  <si>
    <t xml:space="preserve">Ceiling Rear = </t>
  </si>
  <si>
    <t>Rad Top</t>
  </si>
  <si>
    <t>Rad Bot</t>
  </si>
  <si>
    <t>Tube 1</t>
  </si>
  <si>
    <t>Tube 2</t>
  </si>
  <si>
    <t>Comments</t>
  </si>
  <si>
    <t>Vr</t>
  </si>
  <si>
    <t>( Lbs@29.92"hg, 60 F )</t>
  </si>
  <si>
    <t>DRAG</t>
  </si>
  <si>
    <t>HP</t>
  </si>
  <si>
    <t>lb</t>
  </si>
  <si>
    <t>Front</t>
  </si>
  <si>
    <t>Rear</t>
  </si>
  <si>
    <t>L / D</t>
  </si>
  <si>
    <t>C15</t>
  </si>
  <si>
    <t>C16</t>
  </si>
  <si>
    <t>C17</t>
  </si>
  <si>
    <t>C18</t>
  </si>
  <si>
    <t>Wheel Base=</t>
  </si>
  <si>
    <t>Chassis# =</t>
  </si>
  <si>
    <t>Frontal Area =</t>
  </si>
  <si>
    <t>Rear Weight =</t>
  </si>
  <si>
    <t>Front weight =</t>
  </si>
  <si>
    <r>
      <t>Coefficient of Pressure: C</t>
    </r>
    <r>
      <rPr>
        <b/>
        <vertAlign val="subscript"/>
        <sz val="12"/>
        <rFont val="Arial"/>
        <family val="2"/>
      </rPr>
      <t xml:space="preserve">P </t>
    </r>
    <r>
      <rPr>
        <b/>
        <sz val="10"/>
        <rFont val="Arial"/>
        <family val="2"/>
      </rPr>
      <t>= DP/q = (P</t>
    </r>
    <r>
      <rPr>
        <b/>
        <vertAlign val="subscript"/>
        <sz val="12"/>
        <rFont val="Arial"/>
        <family val="2"/>
      </rPr>
      <t>LOCAL</t>
    </r>
    <r>
      <rPr>
        <b/>
        <sz val="10"/>
        <rFont val="Arial"/>
        <family val="2"/>
      </rPr>
      <t>- P</t>
    </r>
    <r>
      <rPr>
        <b/>
        <vertAlign val="subscript"/>
        <sz val="12"/>
        <rFont val="Arial"/>
        <family val="2"/>
      </rPr>
      <t>STATIC</t>
    </r>
    <r>
      <rPr>
        <b/>
        <sz val="10"/>
        <rFont val="Arial"/>
        <family val="2"/>
      </rPr>
      <t>)/q</t>
    </r>
  </si>
  <si>
    <r>
      <t>Coefficient of Pressure Deltas: C</t>
    </r>
    <r>
      <rPr>
        <b/>
        <vertAlign val="subscript"/>
        <sz val="12"/>
        <rFont val="Arial"/>
        <family val="2"/>
      </rPr>
      <t xml:space="preserve">P </t>
    </r>
    <r>
      <rPr>
        <b/>
        <sz val="10"/>
        <rFont val="Arial"/>
        <family val="2"/>
      </rPr>
      <t>= DP/q = (P</t>
    </r>
    <r>
      <rPr>
        <b/>
        <vertAlign val="subscript"/>
        <sz val="12"/>
        <rFont val="Arial"/>
        <family val="2"/>
      </rPr>
      <t>LOCAL</t>
    </r>
    <r>
      <rPr>
        <b/>
        <sz val="10"/>
        <rFont val="Arial"/>
        <family val="2"/>
      </rPr>
      <t>- P</t>
    </r>
    <r>
      <rPr>
        <b/>
        <vertAlign val="subscript"/>
        <sz val="12"/>
        <rFont val="Arial"/>
        <family val="2"/>
      </rPr>
      <t>STATIC</t>
    </r>
    <r>
      <rPr>
        <b/>
        <sz val="10"/>
        <rFont val="Arial"/>
        <family val="2"/>
      </rPr>
      <t>)/q</t>
    </r>
  </si>
  <si>
    <r>
      <t>∆C</t>
    </r>
    <r>
      <rPr>
        <b/>
        <vertAlign val="subscript"/>
        <sz val="14"/>
        <rFont val="Arial"/>
        <family val="2"/>
      </rPr>
      <t>D</t>
    </r>
  </si>
  <si>
    <r>
      <t>∆C</t>
    </r>
    <r>
      <rPr>
        <b/>
        <vertAlign val="subscript"/>
        <sz val="14"/>
        <rFont val="Arial"/>
        <family val="2"/>
      </rPr>
      <t>L</t>
    </r>
  </si>
  <si>
    <r>
      <t>∆C</t>
    </r>
    <r>
      <rPr>
        <b/>
        <vertAlign val="subscript"/>
        <sz val="14"/>
        <rFont val="Arial"/>
        <family val="2"/>
      </rPr>
      <t>LF</t>
    </r>
  </si>
  <si>
    <r>
      <t>∆C</t>
    </r>
    <r>
      <rPr>
        <b/>
        <vertAlign val="subscript"/>
        <sz val="14"/>
        <rFont val="Arial"/>
        <family val="2"/>
      </rPr>
      <t>LR</t>
    </r>
  </si>
  <si>
    <r>
      <t>∆C</t>
    </r>
    <r>
      <rPr>
        <b/>
        <vertAlign val="subscript"/>
        <sz val="14"/>
        <rFont val="Arial"/>
        <family val="2"/>
      </rPr>
      <t>S</t>
    </r>
  </si>
  <si>
    <r>
      <t>C</t>
    </r>
    <r>
      <rPr>
        <b/>
        <vertAlign val="subscript"/>
        <sz val="14"/>
        <rFont val="Arial"/>
        <family val="2"/>
      </rPr>
      <t>L</t>
    </r>
  </si>
  <si>
    <r>
      <t>C</t>
    </r>
    <r>
      <rPr>
        <b/>
        <vertAlign val="subscript"/>
        <sz val="14"/>
        <rFont val="Arial"/>
        <family val="2"/>
      </rPr>
      <t>LF</t>
    </r>
  </si>
  <si>
    <r>
      <t>C</t>
    </r>
    <r>
      <rPr>
        <b/>
        <vertAlign val="subscript"/>
        <sz val="14"/>
        <rFont val="Arial"/>
        <family val="2"/>
      </rPr>
      <t>LR</t>
    </r>
  </si>
  <si>
    <r>
      <t>C</t>
    </r>
    <r>
      <rPr>
        <b/>
        <vertAlign val="subscript"/>
        <sz val="14"/>
        <rFont val="Arial"/>
        <family val="2"/>
      </rPr>
      <t>S</t>
    </r>
  </si>
  <si>
    <r>
      <t>C</t>
    </r>
    <r>
      <rPr>
        <b/>
        <vertAlign val="subscript"/>
        <sz val="14"/>
        <rFont val="Arial"/>
        <family val="2"/>
      </rPr>
      <t>PM</t>
    </r>
  </si>
  <si>
    <r>
      <t>C</t>
    </r>
    <r>
      <rPr>
        <b/>
        <vertAlign val="subscript"/>
        <sz val="14"/>
        <rFont val="Arial"/>
        <family val="2"/>
      </rPr>
      <t>YM</t>
    </r>
  </si>
  <si>
    <r>
      <t>C</t>
    </r>
    <r>
      <rPr>
        <b/>
        <vertAlign val="subscript"/>
        <sz val="14"/>
        <rFont val="Arial"/>
        <family val="2"/>
      </rPr>
      <t>RM</t>
    </r>
  </si>
  <si>
    <r>
      <t>∆C</t>
    </r>
    <r>
      <rPr>
        <b/>
        <vertAlign val="subscript"/>
        <sz val="14"/>
        <rFont val="Arial"/>
        <family val="2"/>
      </rPr>
      <t>PM</t>
    </r>
  </si>
  <si>
    <r>
      <t>∆C</t>
    </r>
    <r>
      <rPr>
        <b/>
        <vertAlign val="subscript"/>
        <sz val="14"/>
        <rFont val="Arial"/>
        <family val="2"/>
      </rPr>
      <t>YM</t>
    </r>
  </si>
  <si>
    <r>
      <t>∆C</t>
    </r>
    <r>
      <rPr>
        <b/>
        <vertAlign val="subscript"/>
        <sz val="14"/>
        <rFont val="Arial"/>
        <family val="2"/>
      </rPr>
      <t>RM</t>
    </r>
  </si>
  <si>
    <r>
      <t>Q</t>
    </r>
    <r>
      <rPr>
        <b/>
        <sz val="11"/>
        <rFont val="Arial"/>
        <family val="2"/>
      </rPr>
      <t xml:space="preserve">     </t>
    </r>
    <r>
      <rPr>
        <b/>
        <sz val="10"/>
        <rFont val="Arial"/>
        <family val="2"/>
      </rPr>
      <t>(psf)</t>
    </r>
  </si>
  <si>
    <r>
      <t xml:space="preserve">Q </t>
    </r>
    <r>
      <rPr>
        <b/>
        <sz val="11"/>
        <rFont val="Arial"/>
        <family val="2"/>
      </rPr>
      <t xml:space="preserve">   </t>
    </r>
    <r>
      <rPr>
        <b/>
        <sz val="10"/>
        <rFont val="Arial"/>
        <family val="2"/>
      </rPr>
      <t xml:space="preserve"> (InH2O)</t>
    </r>
  </si>
  <si>
    <r>
      <t>Lift</t>
    </r>
    <r>
      <rPr>
        <b/>
        <sz val="11"/>
        <rFont val="Arial"/>
        <family val="2"/>
      </rPr>
      <t>/</t>
    </r>
    <r>
      <rPr>
        <b/>
        <vertAlign val="subscript"/>
        <sz val="14"/>
        <rFont val="Arial"/>
        <family val="2"/>
      </rPr>
      <t>Drag</t>
    </r>
  </si>
  <si>
    <r>
      <t>C</t>
    </r>
    <r>
      <rPr>
        <b/>
        <vertAlign val="subscript"/>
        <sz val="14"/>
        <rFont val="Arial"/>
        <family val="2"/>
      </rPr>
      <t>D</t>
    </r>
  </si>
  <si>
    <t xml:space="preserve">AVE </t>
  </si>
  <si>
    <t>Pt.</t>
  </si>
  <si>
    <r>
      <t>∆</t>
    </r>
    <r>
      <rPr>
        <b/>
        <sz val="10"/>
        <rFont val="Arial"/>
        <family val="2"/>
      </rPr>
      <t>HP</t>
    </r>
  </si>
  <si>
    <r>
      <t>∆</t>
    </r>
    <r>
      <rPr>
        <b/>
        <sz val="10"/>
        <rFont val="Arial"/>
        <family val="2"/>
      </rPr>
      <t>Drag (lbs)</t>
    </r>
  </si>
  <si>
    <r>
      <t>∆</t>
    </r>
    <r>
      <rPr>
        <b/>
        <sz val="10"/>
        <rFont val="Arial"/>
        <family val="2"/>
      </rPr>
      <t>Lift Total</t>
    </r>
  </si>
  <si>
    <r>
      <t>∆</t>
    </r>
    <r>
      <rPr>
        <b/>
        <sz val="10"/>
        <rFont val="Arial"/>
        <family val="2"/>
      </rPr>
      <t>Lift Front</t>
    </r>
  </si>
  <si>
    <r>
      <t>∆</t>
    </r>
    <r>
      <rPr>
        <b/>
        <sz val="10"/>
        <rFont val="Arial"/>
        <family val="2"/>
      </rPr>
      <t>Lift Rear</t>
    </r>
  </si>
  <si>
    <r>
      <t>∆</t>
    </r>
    <r>
      <rPr>
        <b/>
        <sz val="10"/>
        <rFont val="Arial"/>
        <family val="2"/>
      </rPr>
      <t>L/D</t>
    </r>
  </si>
  <si>
    <r>
      <t>∆</t>
    </r>
    <r>
      <rPr>
        <b/>
        <sz val="10"/>
        <rFont val="Arial"/>
        <family val="2"/>
      </rPr>
      <t>Side   Force</t>
    </r>
  </si>
  <si>
    <r>
      <t>∆</t>
    </r>
    <r>
      <rPr>
        <b/>
        <sz val="10"/>
        <rFont val="Arial"/>
        <family val="2"/>
      </rPr>
      <t>Vr</t>
    </r>
  </si>
  <si>
    <r>
      <t xml:space="preserve"> </t>
    </r>
    <r>
      <rPr>
        <b/>
        <sz val="12"/>
        <rFont val="Symbol"/>
        <family val="1"/>
        <charset val="2"/>
      </rPr>
      <t>D</t>
    </r>
    <r>
      <rPr>
        <b/>
        <sz val="11"/>
        <rFont val="Arial"/>
        <family val="2"/>
      </rPr>
      <t>C1</t>
    </r>
  </si>
  <si>
    <r>
      <t xml:space="preserve"> </t>
    </r>
    <r>
      <rPr>
        <b/>
        <sz val="12"/>
        <rFont val="Symbol"/>
        <family val="1"/>
        <charset val="2"/>
      </rPr>
      <t>D</t>
    </r>
    <r>
      <rPr>
        <b/>
        <sz val="11"/>
        <rFont val="Arial"/>
        <family val="2"/>
      </rPr>
      <t>C2</t>
    </r>
    <r>
      <rPr>
        <sz val="10"/>
        <rFont val="Franklin Gothic Medium"/>
      </rPr>
      <t/>
    </r>
  </si>
  <si>
    <r>
      <t xml:space="preserve"> </t>
    </r>
    <r>
      <rPr>
        <b/>
        <sz val="12"/>
        <rFont val="Symbol"/>
        <family val="1"/>
        <charset val="2"/>
      </rPr>
      <t>D</t>
    </r>
    <r>
      <rPr>
        <b/>
        <sz val="11"/>
        <rFont val="Arial"/>
        <family val="2"/>
      </rPr>
      <t>C3</t>
    </r>
    <r>
      <rPr>
        <sz val="10"/>
        <rFont val="Franklin Gothic Medium"/>
      </rPr>
      <t/>
    </r>
  </si>
  <si>
    <r>
      <t xml:space="preserve"> </t>
    </r>
    <r>
      <rPr>
        <b/>
        <sz val="12"/>
        <rFont val="Symbol"/>
        <family val="1"/>
        <charset val="2"/>
      </rPr>
      <t>D</t>
    </r>
    <r>
      <rPr>
        <b/>
        <sz val="11"/>
        <rFont val="Arial"/>
        <family val="2"/>
      </rPr>
      <t>C4</t>
    </r>
    <r>
      <rPr>
        <sz val="10"/>
        <rFont val="Franklin Gothic Medium"/>
      </rPr>
      <t/>
    </r>
  </si>
  <si>
    <r>
      <t xml:space="preserve"> </t>
    </r>
    <r>
      <rPr>
        <b/>
        <sz val="12"/>
        <rFont val="Symbol"/>
        <family val="1"/>
        <charset val="2"/>
      </rPr>
      <t>D</t>
    </r>
    <r>
      <rPr>
        <b/>
        <sz val="11"/>
        <rFont val="Arial"/>
        <family val="2"/>
      </rPr>
      <t>C5</t>
    </r>
    <r>
      <rPr>
        <sz val="10"/>
        <rFont val="Franklin Gothic Medium"/>
      </rPr>
      <t/>
    </r>
  </si>
  <si>
    <r>
      <t xml:space="preserve"> </t>
    </r>
    <r>
      <rPr>
        <b/>
        <sz val="12"/>
        <rFont val="Symbol"/>
        <family val="1"/>
        <charset val="2"/>
      </rPr>
      <t>D</t>
    </r>
    <r>
      <rPr>
        <b/>
        <sz val="11"/>
        <rFont val="Arial"/>
        <family val="2"/>
      </rPr>
      <t>C6</t>
    </r>
    <r>
      <rPr>
        <sz val="10"/>
        <rFont val="Franklin Gothic Medium"/>
      </rPr>
      <t/>
    </r>
  </si>
  <si>
    <r>
      <t xml:space="preserve"> </t>
    </r>
    <r>
      <rPr>
        <b/>
        <sz val="12"/>
        <rFont val="Symbol"/>
        <family val="1"/>
        <charset val="2"/>
      </rPr>
      <t>D</t>
    </r>
    <r>
      <rPr>
        <b/>
        <sz val="11"/>
        <rFont val="Arial"/>
        <family val="2"/>
      </rPr>
      <t>C7</t>
    </r>
    <r>
      <rPr>
        <sz val="10"/>
        <rFont val="Franklin Gothic Medium"/>
      </rPr>
      <t/>
    </r>
  </si>
  <si>
    <r>
      <t xml:space="preserve"> </t>
    </r>
    <r>
      <rPr>
        <b/>
        <sz val="12"/>
        <rFont val="Symbol"/>
        <family val="1"/>
        <charset val="2"/>
      </rPr>
      <t>D</t>
    </r>
    <r>
      <rPr>
        <b/>
        <sz val="11"/>
        <rFont val="Arial"/>
        <family val="2"/>
      </rPr>
      <t>C8</t>
    </r>
    <r>
      <rPr>
        <sz val="10"/>
        <rFont val="Franklin Gothic Medium"/>
      </rPr>
      <t/>
    </r>
  </si>
  <si>
    <r>
      <t xml:space="preserve"> </t>
    </r>
    <r>
      <rPr>
        <b/>
        <sz val="12"/>
        <rFont val="Symbol"/>
        <family val="1"/>
        <charset val="2"/>
      </rPr>
      <t>D</t>
    </r>
    <r>
      <rPr>
        <b/>
        <sz val="11"/>
        <rFont val="Arial"/>
        <family val="2"/>
      </rPr>
      <t>C9</t>
    </r>
    <r>
      <rPr>
        <sz val="10"/>
        <rFont val="Franklin Gothic Medium"/>
      </rPr>
      <t/>
    </r>
  </si>
  <si>
    <r>
      <t xml:space="preserve"> </t>
    </r>
    <r>
      <rPr>
        <b/>
        <sz val="12"/>
        <rFont val="Symbol"/>
        <family val="1"/>
        <charset val="2"/>
      </rPr>
      <t>D</t>
    </r>
    <r>
      <rPr>
        <b/>
        <sz val="11"/>
        <rFont val="Arial"/>
        <family val="2"/>
      </rPr>
      <t>C10</t>
    </r>
    <r>
      <rPr>
        <sz val="10"/>
        <rFont val="Franklin Gothic Medium"/>
      </rPr>
      <t/>
    </r>
  </si>
  <si>
    <r>
      <t xml:space="preserve"> </t>
    </r>
    <r>
      <rPr>
        <b/>
        <sz val="12"/>
        <rFont val="Symbol"/>
        <family val="1"/>
        <charset val="2"/>
      </rPr>
      <t>D</t>
    </r>
    <r>
      <rPr>
        <b/>
        <sz val="11"/>
        <rFont val="Arial"/>
        <family val="2"/>
      </rPr>
      <t>C11</t>
    </r>
    <r>
      <rPr>
        <sz val="10"/>
        <rFont val="Franklin Gothic Medium"/>
      </rPr>
      <t/>
    </r>
  </si>
  <si>
    <r>
      <t xml:space="preserve"> </t>
    </r>
    <r>
      <rPr>
        <b/>
        <sz val="12"/>
        <rFont val="Symbol"/>
        <family val="1"/>
        <charset val="2"/>
      </rPr>
      <t>D</t>
    </r>
    <r>
      <rPr>
        <b/>
        <sz val="11"/>
        <rFont val="Arial"/>
        <family val="2"/>
      </rPr>
      <t>C12</t>
    </r>
    <r>
      <rPr>
        <sz val="10"/>
        <rFont val="Franklin Gothic Medium"/>
      </rPr>
      <t/>
    </r>
  </si>
  <si>
    <r>
      <t xml:space="preserve"> </t>
    </r>
    <r>
      <rPr>
        <b/>
        <sz val="12"/>
        <rFont val="Symbol"/>
        <family val="1"/>
        <charset val="2"/>
      </rPr>
      <t>D</t>
    </r>
    <r>
      <rPr>
        <b/>
        <sz val="11"/>
        <rFont val="Arial"/>
        <family val="2"/>
      </rPr>
      <t>C13</t>
    </r>
    <r>
      <rPr>
        <sz val="10"/>
        <rFont val="Franklin Gothic Medium"/>
      </rPr>
      <t/>
    </r>
  </si>
  <si>
    <r>
      <t xml:space="preserve"> </t>
    </r>
    <r>
      <rPr>
        <b/>
        <sz val="12"/>
        <rFont val="Symbol"/>
        <family val="1"/>
        <charset val="2"/>
      </rPr>
      <t>D</t>
    </r>
    <r>
      <rPr>
        <b/>
        <sz val="11"/>
        <rFont val="Arial"/>
        <family val="2"/>
      </rPr>
      <t>C14</t>
    </r>
    <r>
      <rPr>
        <sz val="10"/>
        <rFont val="Franklin Gothic Medium"/>
      </rPr>
      <t/>
    </r>
  </si>
  <si>
    <r>
      <t xml:space="preserve"> </t>
    </r>
    <r>
      <rPr>
        <b/>
        <sz val="12"/>
        <rFont val="Symbol"/>
        <family val="1"/>
        <charset val="2"/>
      </rPr>
      <t>D</t>
    </r>
    <r>
      <rPr>
        <b/>
        <sz val="11"/>
        <rFont val="Arial"/>
        <family val="2"/>
      </rPr>
      <t>C15</t>
    </r>
    <r>
      <rPr>
        <sz val="10"/>
        <rFont val="Franklin Gothic Medium"/>
      </rPr>
      <t/>
    </r>
  </si>
  <si>
    <r>
      <t xml:space="preserve"> </t>
    </r>
    <r>
      <rPr>
        <b/>
        <sz val="12"/>
        <rFont val="Symbol"/>
        <family val="1"/>
        <charset val="2"/>
      </rPr>
      <t>D</t>
    </r>
    <r>
      <rPr>
        <b/>
        <sz val="11"/>
        <rFont val="Arial"/>
        <family val="2"/>
      </rPr>
      <t>C16</t>
    </r>
    <r>
      <rPr>
        <sz val="10"/>
        <rFont val="Franklin Gothic Medium"/>
      </rPr>
      <t/>
    </r>
  </si>
  <si>
    <r>
      <t xml:space="preserve"> </t>
    </r>
    <r>
      <rPr>
        <b/>
        <sz val="12"/>
        <rFont val="Symbol"/>
        <family val="1"/>
        <charset val="2"/>
      </rPr>
      <t>D</t>
    </r>
    <r>
      <rPr>
        <b/>
        <sz val="11"/>
        <rFont val="Arial"/>
        <family val="2"/>
      </rPr>
      <t>C17</t>
    </r>
    <r>
      <rPr>
        <sz val="10"/>
        <rFont val="Franklin Gothic Medium"/>
      </rPr>
      <t/>
    </r>
  </si>
  <si>
    <r>
      <t xml:space="preserve"> </t>
    </r>
    <r>
      <rPr>
        <b/>
        <sz val="12"/>
        <rFont val="Symbol"/>
        <family val="1"/>
        <charset val="2"/>
      </rPr>
      <t>D</t>
    </r>
    <r>
      <rPr>
        <b/>
        <sz val="11"/>
        <rFont val="Arial"/>
        <family val="2"/>
      </rPr>
      <t>C18</t>
    </r>
    <r>
      <rPr>
        <sz val="10"/>
        <rFont val="Franklin Gothic Medium"/>
      </rPr>
      <t/>
    </r>
  </si>
  <si>
    <r>
      <t>∆</t>
    </r>
    <r>
      <rPr>
        <b/>
        <sz val="10"/>
        <rFont val="Arial"/>
        <family val="2"/>
      </rPr>
      <t>Balance</t>
    </r>
  </si>
  <si>
    <t>REQUIRED SPEED INPUT &gt; &gt;</t>
  </si>
  <si>
    <t>RELATIVE DRAG</t>
  </si>
  <si>
    <t>RELATIVE</t>
  </si>
  <si>
    <t>RELATIVE FORCE (lb)</t>
  </si>
  <si>
    <t>Rad TM</t>
  </si>
  <si>
    <t>Rad BM</t>
  </si>
  <si>
    <t>AVE VR</t>
  </si>
  <si>
    <t>Radiator</t>
  </si>
  <si>
    <t>VR</t>
  </si>
  <si>
    <t>∆Vr</t>
  </si>
  <si>
    <t>REF</t>
  </si>
  <si>
    <t xml:space="preserve">% Front     </t>
  </si>
  <si>
    <t xml:space="preserve">MPH = </t>
  </si>
  <si>
    <t>Total</t>
  </si>
  <si>
    <t>Side</t>
  </si>
  <si>
    <r>
      <t xml:space="preserve"> LBS Force at </t>
    </r>
    <r>
      <rPr>
        <sz val="10"/>
        <color indexed="10"/>
        <rFont val="Arial"/>
        <family val="2"/>
      </rPr>
      <t>Speed</t>
    </r>
  </si>
  <si>
    <t>C1</t>
  </si>
  <si>
    <t>C2</t>
  </si>
  <si>
    <t>C3</t>
  </si>
  <si>
    <t>C4</t>
  </si>
  <si>
    <t>C5</t>
  </si>
  <si>
    <t>&lt;= INPUT</t>
  </si>
  <si>
    <t>DYNAMIC</t>
  </si>
  <si>
    <t>BALANCE</t>
  </si>
  <si>
    <t>AERO</t>
  </si>
  <si>
    <t>Overall     % Front</t>
  </si>
  <si>
    <t xml:space="preserve"> Total Weight =</t>
  </si>
  <si>
    <t>RUN</t>
  </si>
  <si>
    <t>Static % Front =</t>
  </si>
  <si>
    <t>LEFT</t>
  </si>
  <si>
    <t>RIGHT</t>
  </si>
  <si>
    <t>QC =</t>
  </si>
  <si>
    <t>Rad Bot / Tube 1</t>
  </si>
  <si>
    <t>Tube 3</t>
  </si>
  <si>
    <t/>
  </si>
  <si>
    <t>Reynolds sweep Baseline</t>
  </si>
  <si>
    <t>8mph</t>
  </si>
  <si>
    <t>18mph</t>
  </si>
  <si>
    <t>25mph</t>
  </si>
  <si>
    <t>35mph</t>
  </si>
  <si>
    <t>45mph</t>
  </si>
  <si>
    <t>Sealed around front wheels</t>
  </si>
  <si>
    <t>Wheel skirts holes still sealed</t>
  </si>
  <si>
    <t>Skirts no seals</t>
  </si>
  <si>
    <t>Baseline</t>
  </si>
  <si>
    <t>Remove seal tape</t>
  </si>
  <si>
    <t>Foam spoiler</t>
  </si>
  <si>
    <t>Foam sideburns</t>
  </si>
  <si>
    <t>Foam mutton chops</t>
  </si>
  <si>
    <t>Folder front wheel taper</t>
  </si>
  <si>
    <t>Carboard front wheel tapers</t>
  </si>
  <si>
    <t>15° Baseline</t>
  </si>
  <si>
    <t>15° Mutton chop on left (trailing side)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</si>
</sst>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5">
    <numFmt numFmtId="164" formatCode="0.000"/>
    <numFmt numFmtId="165" formatCode="0.0"/>
    <numFmt numFmtId="166" formatCode=".000"/>
    <numFmt numFmtId="167" formatCode="0.0%"/>
    <numFmt numFmtId="168" formatCode="[$-F800]dddd\,\ mmmm\ dd\,\ yyyy"/>
  </numFmts>
  <fonts count="23" x14ac:knownFonts="1">
    <font>
      <sz val="10"/>
      <name val="Franklin Gothic Medium"/>
    </font>
    <font>
      <sz val="8"/>
      <name val="Franklin Gothic Medium"/>
    </font>
    <font>
      <b/>
      <sz val="10"/>
      <color indexed="10"/>
      <name val="Arial"/>
      <family val="2"/>
    </font>
    <font>
      <sz val="10"/>
      <color indexed="55"/>
      <name val="Arial"/>
      <family val="2"/>
    </font>
    <font>
      <b/>
      <sz val="10"/>
      <color indexed="55"/>
      <name val="Arial"/>
      <family val="2"/>
    </font>
    <font>
      <sz val="10"/>
      <name val="Arial"/>
      <family val="2"/>
    </font>
    <font>
      <b/>
      <sz val="10"/>
      <name val="Arial"/>
      <family val="2"/>
    </font>
    <font>
      <b/>
      <sz val="11"/>
      <name val="Arial"/>
      <family val="2"/>
    </font>
    <font>
      <b/>
      <vertAlign val="subscript"/>
      <sz val="12"/>
      <name val="Arial"/>
      <family val="2"/>
    </font>
    <font>
      <b/>
      <sz val="12"/>
      <name val="Arial"/>
      <family val="2"/>
    </font>
    <font>
      <b/>
      <vertAlign val="subscript"/>
      <sz val="14"/>
      <name val="Arial"/>
      <family val="2"/>
    </font>
    <font>
      <b/>
      <vertAlign val="superscript"/>
      <sz val="14"/>
      <name val="Arial"/>
      <family val="2"/>
    </font>
    <font>
      <b/>
      <sz val="12"/>
      <name val="Symbol"/>
      <family val="1"/>
      <charset val="2"/>
    </font>
    <font>
      <b/>
      <sz val="9"/>
      <name val="Arial"/>
      <family val="2"/>
    </font>
    <font>
      <b/>
      <sz val="10"/>
      <name val="Franklin Gothic Medium"/>
      <family val="2"/>
    </font>
    <font>
      <sz val="10"/>
      <color indexed="48"/>
      <name val="Arial"/>
      <family val="2"/>
    </font>
    <font>
      <sz val="10"/>
      <color indexed="23"/>
      <name val="Arial"/>
      <family val="2"/>
    </font>
    <font>
      <sz val="10"/>
      <color indexed="10"/>
      <name val="Arial"/>
      <family val="2"/>
    </font>
    <font>
      <sz val="10"/>
      <color indexed="55"/>
      <name val="Franklin Gothic Medium"/>
    </font>
    <font>
      <sz val="10"/>
      <color theme="0" tint="-0.14999847407452621"/>
      <name val="Arial"/>
      <family val="2"/>
    </font>
    <font>
      <b/>
      <sz val="10"/>
      <color theme="0" tint="-0.14999847407452621"/>
      <name val="Arial"/>
      <family val="2"/>
    </font>
    <font>
      <b/>
      <sz val="9"/>
      <color theme="0" tint="-0.14999847407452621"/>
      <name val="Arial"/>
      <family val="2"/>
    </font>
    <font>
      <sz val="10"/>
      <color theme="0" tint="-0.14999847407452621"/>
      <name val="Franklin Gothic Medium"/>
      <family val="2"/>
    </font>
  </fonts>
  <fills count="6">
    <fill>
      <patternFill patternType="none"/>
    </fill>
    <fill>
      <patternFill patternType="gray125"/>
    </fill>
    <fill>
      <patternFill patternType="solid">
        <fgColor indexed="43"/>
        <bgColor indexed="64"/>
      </patternFill>
    </fill>
    <fill>
      <patternFill patternType="solid">
        <fgColor indexed="44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9"/>
        <bgColor indexed="64"/>
      </patternFill>
    </fill>
  </fills>
  <borders count="3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</borders>
  <cellStyleXfs count="1">
    <xf numFmtId="0" fontId="0" fillId="0" borderId="0"/>
  </cellStyleXfs>
  <cellXfs count="245">
    <xf numFmtId="0" fontId="0" fillId="0" borderId="0" xfId="0"/>
    <xf numFmtId="0" fontId="5" fillId="0" borderId="0" xfId="0" applyFont="1"/>
    <xf numFmtId="0" fontId="5" fillId="0" borderId="0" xfId="0" applyFont="1" applyAlignment="1">
      <alignment horizontal="center"/>
    </xf>
    <xf numFmtId="0" fontId="5" fillId="0" borderId="0" xfId="0" applyFont="1" applyFill="1"/>
    <xf numFmtId="166" fontId="5" fillId="0" borderId="0" xfId="0" applyNumberFormat="1" applyFont="1" applyBorder="1" applyAlignment="1">
      <alignment horizontal="center"/>
    </xf>
    <xf numFmtId="166" fontId="5" fillId="0" borderId="0" xfId="0" applyNumberFormat="1" applyFont="1" applyAlignment="1">
      <alignment horizontal="center"/>
    </xf>
    <xf numFmtId="2" fontId="5" fillId="0" borderId="0" xfId="0" applyNumberFormat="1" applyFont="1" applyFill="1" applyBorder="1" applyAlignment="1">
      <alignment horizontal="center"/>
    </xf>
    <xf numFmtId="166" fontId="5" fillId="0" borderId="0" xfId="0" applyNumberFormat="1" applyFont="1" applyFill="1" applyBorder="1" applyAlignment="1">
      <alignment horizontal="center"/>
    </xf>
    <xf numFmtId="166" fontId="6" fillId="2" borderId="1" xfId="0" applyNumberFormat="1" applyFont="1" applyFill="1" applyBorder="1" applyAlignment="1">
      <alignment horizontal="center"/>
    </xf>
    <xf numFmtId="0" fontId="6" fillId="2" borderId="1" xfId="0" applyFont="1" applyFill="1" applyBorder="1" applyAlignment="1">
      <alignment horizontal="center"/>
    </xf>
    <xf numFmtId="0" fontId="5" fillId="0" borderId="0" xfId="0" applyFont="1" applyBorder="1" applyAlignment="1">
      <alignment horizontal="center"/>
    </xf>
    <xf numFmtId="166" fontId="6" fillId="2" borderId="2" xfId="0" applyNumberFormat="1" applyFont="1" applyFill="1" applyBorder="1" applyAlignment="1">
      <alignment horizontal="center"/>
    </xf>
    <xf numFmtId="0" fontId="5" fillId="0" borderId="3" xfId="0" applyFont="1" applyBorder="1"/>
    <xf numFmtId="0" fontId="5" fillId="0" borderId="3" xfId="0" applyFont="1" applyBorder="1" applyAlignment="1">
      <alignment horizontal="center"/>
    </xf>
    <xf numFmtId="165" fontId="5" fillId="0" borderId="0" xfId="0" applyNumberFormat="1" applyFont="1" applyAlignment="1">
      <alignment horizontal="center"/>
    </xf>
    <xf numFmtId="165" fontId="5" fillId="0" borderId="0" xfId="0" applyNumberFormat="1" applyFont="1" applyFill="1" applyBorder="1" applyAlignment="1">
      <alignment horizontal="center"/>
    </xf>
    <xf numFmtId="165" fontId="5" fillId="0" borderId="3" xfId="0" applyNumberFormat="1" applyFont="1" applyBorder="1" applyAlignment="1">
      <alignment horizontal="center"/>
    </xf>
    <xf numFmtId="0" fontId="6" fillId="0" borderId="0" xfId="0" applyFont="1" applyAlignment="1">
      <alignment horizontal="center"/>
    </xf>
    <xf numFmtId="0" fontId="6" fillId="0" borderId="3" xfId="0" applyFont="1" applyBorder="1" applyAlignment="1">
      <alignment horizontal="center"/>
    </xf>
    <xf numFmtId="0" fontId="7" fillId="0" borderId="0" xfId="0" applyFont="1" applyFill="1" applyAlignment="1">
      <alignment horizontal="center" vertical="center"/>
    </xf>
    <xf numFmtId="0" fontId="7" fillId="0" borderId="0" xfId="0" applyFont="1" applyAlignment="1">
      <alignment horizontal="center" vertical="center"/>
    </xf>
    <xf numFmtId="2" fontId="5" fillId="0" borderId="0" xfId="0" applyNumberFormat="1" applyFont="1" applyBorder="1" applyAlignment="1">
      <alignment horizontal="center"/>
    </xf>
    <xf numFmtId="2" fontId="5" fillId="0" borderId="3" xfId="0" applyNumberFormat="1" applyFont="1" applyBorder="1" applyAlignment="1">
      <alignment horizontal="center"/>
    </xf>
    <xf numFmtId="2" fontId="5" fillId="0" borderId="0" xfId="0" applyNumberFormat="1" applyFont="1" applyAlignment="1">
      <alignment horizontal="center"/>
    </xf>
    <xf numFmtId="166" fontId="5" fillId="3" borderId="4" xfId="0" applyNumberFormat="1" applyFont="1" applyFill="1" applyBorder="1" applyAlignment="1">
      <alignment horizontal="center"/>
    </xf>
    <xf numFmtId="166" fontId="5" fillId="0" borderId="3" xfId="0" applyNumberFormat="1" applyFont="1" applyBorder="1" applyAlignment="1">
      <alignment horizontal="center"/>
    </xf>
    <xf numFmtId="165" fontId="5" fillId="0" borderId="5" xfId="0" applyNumberFormat="1" applyFont="1" applyFill="1" applyBorder="1" applyAlignment="1">
      <alignment horizontal="center"/>
    </xf>
    <xf numFmtId="166" fontId="5" fillId="0" borderId="6" xfId="0" applyNumberFormat="1" applyFont="1" applyBorder="1" applyAlignment="1">
      <alignment horizontal="center"/>
    </xf>
    <xf numFmtId="166" fontId="5" fillId="0" borderId="0" xfId="0" applyNumberFormat="1" applyFont="1"/>
    <xf numFmtId="166" fontId="5" fillId="0" borderId="3" xfId="0" applyNumberFormat="1" applyFont="1" applyBorder="1"/>
    <xf numFmtId="165" fontId="3" fillId="0" borderId="0" xfId="0" applyNumberFormat="1" applyFont="1" applyBorder="1" applyAlignment="1">
      <alignment horizontal="left"/>
    </xf>
    <xf numFmtId="165" fontId="6" fillId="2" borderId="1" xfId="0" applyNumberFormat="1" applyFont="1" applyFill="1" applyBorder="1" applyAlignment="1">
      <alignment horizontal="center"/>
    </xf>
    <xf numFmtId="165" fontId="6" fillId="2" borderId="2" xfId="0" applyNumberFormat="1" applyFont="1" applyFill="1" applyBorder="1" applyAlignment="1">
      <alignment horizontal="center"/>
    </xf>
    <xf numFmtId="167" fontId="5" fillId="0" borderId="0" xfId="0" applyNumberFormat="1" applyFont="1" applyAlignment="1">
      <alignment horizontal="center"/>
    </xf>
    <xf numFmtId="167" fontId="5" fillId="3" borderId="4" xfId="0" applyNumberFormat="1" applyFont="1" applyFill="1" applyBorder="1" applyAlignment="1">
      <alignment horizontal="center"/>
    </xf>
    <xf numFmtId="167" fontId="6" fillId="2" borderId="1" xfId="0" applyNumberFormat="1" applyFont="1" applyFill="1" applyBorder="1" applyAlignment="1">
      <alignment horizontal="center"/>
    </xf>
    <xf numFmtId="167" fontId="5" fillId="0" borderId="0" xfId="0" applyNumberFormat="1" applyFont="1" applyFill="1" applyBorder="1" applyAlignment="1">
      <alignment horizontal="center"/>
    </xf>
    <xf numFmtId="167" fontId="5" fillId="0" borderId="3" xfId="0" applyNumberFormat="1" applyFont="1" applyBorder="1" applyAlignment="1">
      <alignment horizontal="center"/>
    </xf>
    <xf numFmtId="2" fontId="5" fillId="0" borderId="0" xfId="0" applyNumberFormat="1" applyFont="1"/>
    <xf numFmtId="2" fontId="5" fillId="0" borderId="3" xfId="0" applyNumberFormat="1" applyFont="1" applyBorder="1"/>
    <xf numFmtId="0" fontId="5" fillId="0" borderId="0" xfId="0" applyFont="1" applyAlignment="1">
      <alignment horizontal="right"/>
    </xf>
    <xf numFmtId="0" fontId="0" fillId="0" borderId="0" xfId="0" applyAlignment="1">
      <alignment horizontal="center"/>
    </xf>
    <xf numFmtId="0" fontId="5" fillId="0" borderId="0" xfId="0" applyFont="1" applyAlignment="1"/>
    <xf numFmtId="0" fontId="5" fillId="0" borderId="3" xfId="0" applyFont="1" applyBorder="1" applyAlignment="1"/>
    <xf numFmtId="166" fontId="6" fillId="2" borderId="7" xfId="0" applyNumberFormat="1" applyFont="1" applyFill="1" applyBorder="1" applyAlignment="1">
      <alignment horizontal="center"/>
    </xf>
    <xf numFmtId="0" fontId="5" fillId="0" borderId="0" xfId="0" applyFont="1" applyFill="1" applyBorder="1" applyAlignment="1">
      <alignment horizontal="center"/>
    </xf>
    <xf numFmtId="165" fontId="5" fillId="0" borderId="6" xfId="0" applyNumberFormat="1" applyFont="1" applyBorder="1" applyAlignment="1">
      <alignment horizontal="center"/>
    </xf>
    <xf numFmtId="164" fontId="6" fillId="0" borderId="0" xfId="0" applyNumberFormat="1" applyFont="1" applyFill="1" applyBorder="1" applyAlignment="1">
      <alignment horizontal="center"/>
    </xf>
    <xf numFmtId="165" fontId="5" fillId="0" borderId="11" xfId="0" applyNumberFormat="1" applyFont="1" applyBorder="1" applyAlignment="1">
      <alignment horizontal="right"/>
    </xf>
    <xf numFmtId="0" fontId="5" fillId="0" borderId="12" xfId="0" applyFont="1" applyBorder="1" applyAlignment="1">
      <alignment horizontal="left"/>
    </xf>
    <xf numFmtId="0" fontId="5" fillId="0" borderId="13" xfId="0" applyFont="1" applyBorder="1" applyAlignment="1">
      <alignment horizontal="left"/>
    </xf>
    <xf numFmtId="166" fontId="5" fillId="0" borderId="11" xfId="0" applyNumberFormat="1" applyFont="1" applyBorder="1" applyAlignment="1">
      <alignment horizontal="center"/>
    </xf>
    <xf numFmtId="0" fontId="5" fillId="0" borderId="14" xfId="0" applyFont="1" applyBorder="1" applyAlignment="1">
      <alignment horizontal="center"/>
    </xf>
    <xf numFmtId="0" fontId="5" fillId="0" borderId="11" xfId="0" applyFont="1" applyBorder="1" applyAlignment="1">
      <alignment horizontal="right"/>
    </xf>
    <xf numFmtId="166" fontId="9" fillId="0" borderId="4" xfId="0" applyNumberFormat="1" applyFont="1" applyFill="1" applyBorder="1" applyAlignment="1">
      <alignment horizontal="center" vertical="center"/>
    </xf>
    <xf numFmtId="165" fontId="5" fillId="3" borderId="5" xfId="0" applyNumberFormat="1" applyFont="1" applyFill="1" applyBorder="1" applyAlignment="1">
      <alignment horizontal="center"/>
    </xf>
    <xf numFmtId="166" fontId="5" fillId="0" borderId="1" xfId="0" applyNumberFormat="1" applyFont="1" applyFill="1" applyBorder="1" applyAlignment="1">
      <alignment horizontal="center"/>
    </xf>
    <xf numFmtId="0" fontId="9" fillId="3" borderId="4" xfId="0" applyFont="1" applyFill="1" applyBorder="1" applyAlignment="1">
      <alignment horizontal="center" vertical="center"/>
    </xf>
    <xf numFmtId="0" fontId="9" fillId="3" borderId="15" xfId="0" applyFont="1" applyFill="1" applyBorder="1" applyAlignment="1">
      <alignment horizontal="center" vertical="center"/>
    </xf>
    <xf numFmtId="0" fontId="9" fillId="3" borderId="16" xfId="0" applyFont="1" applyFill="1" applyBorder="1" applyAlignment="1">
      <alignment horizontal="center" vertical="center"/>
    </xf>
    <xf numFmtId="0" fontId="6" fillId="3" borderId="5" xfId="0" applyFont="1" applyFill="1" applyBorder="1" applyAlignment="1">
      <alignment horizontal="center" vertical="center"/>
    </xf>
    <xf numFmtId="165" fontId="7" fillId="3" borderId="5" xfId="0" applyNumberFormat="1" applyFont="1" applyFill="1" applyBorder="1" applyAlignment="1">
      <alignment horizontal="center" vertical="center"/>
    </xf>
    <xf numFmtId="165" fontId="7" fillId="3" borderId="4" xfId="0" applyNumberFormat="1" applyFont="1" applyFill="1" applyBorder="1" applyAlignment="1">
      <alignment horizontal="center" vertical="center"/>
    </xf>
    <xf numFmtId="167" fontId="6" fillId="3" borderId="4" xfId="0" applyNumberFormat="1" applyFont="1" applyFill="1" applyBorder="1" applyAlignment="1">
      <alignment horizontal="center" vertical="center" wrapText="1"/>
    </xf>
    <xf numFmtId="166" fontId="7" fillId="3" borderId="4" xfId="0" applyNumberFormat="1" applyFont="1" applyFill="1" applyBorder="1" applyAlignment="1">
      <alignment horizontal="center" vertical="center"/>
    </xf>
    <xf numFmtId="2" fontId="7" fillId="3" borderId="4" xfId="0" applyNumberFormat="1" applyFont="1" applyFill="1" applyBorder="1" applyAlignment="1">
      <alignment horizontal="center" vertical="center"/>
    </xf>
    <xf numFmtId="0" fontId="13" fillId="2" borderId="1" xfId="0" applyFont="1" applyFill="1" applyBorder="1" applyAlignment="1">
      <alignment horizontal="center"/>
    </xf>
    <xf numFmtId="0" fontId="5" fillId="0" borderId="17" xfId="0" applyFont="1" applyBorder="1" applyAlignment="1">
      <alignment horizontal="center"/>
    </xf>
    <xf numFmtId="2" fontId="5" fillId="3" borderId="5" xfId="0" applyNumberFormat="1" applyFont="1" applyFill="1" applyBorder="1" applyAlignment="1">
      <alignment horizontal="center"/>
    </xf>
    <xf numFmtId="0" fontId="7" fillId="3" borderId="4" xfId="0" applyFont="1" applyFill="1" applyBorder="1" applyAlignment="1">
      <alignment horizontal="center" vertical="center"/>
    </xf>
    <xf numFmtId="0" fontId="7" fillId="0" borderId="4" xfId="0" applyFont="1" applyFill="1" applyBorder="1" applyAlignment="1">
      <alignment horizontal="center" vertical="center"/>
    </xf>
    <xf numFmtId="165" fontId="5" fillId="0" borderId="1" xfId="0" applyNumberFormat="1" applyFont="1" applyFill="1" applyBorder="1" applyAlignment="1">
      <alignment horizontal="center"/>
    </xf>
    <xf numFmtId="167" fontId="5" fillId="0" borderId="1" xfId="0" applyNumberFormat="1" applyFont="1" applyFill="1" applyBorder="1" applyAlignment="1">
      <alignment horizontal="center"/>
    </xf>
    <xf numFmtId="166" fontId="9" fillId="0" borderId="5" xfId="0" applyNumberFormat="1" applyFont="1" applyFill="1" applyBorder="1" applyAlignment="1">
      <alignment horizontal="center" vertical="center"/>
    </xf>
    <xf numFmtId="166" fontId="5" fillId="0" borderId="2" xfId="0" applyNumberFormat="1" applyFont="1" applyFill="1" applyBorder="1" applyAlignment="1">
      <alignment horizontal="center"/>
    </xf>
    <xf numFmtId="0" fontId="6" fillId="4" borderId="2" xfId="0" applyFont="1" applyFill="1" applyBorder="1" applyAlignment="1">
      <alignment horizontal="center"/>
    </xf>
    <xf numFmtId="0" fontId="6" fillId="0" borderId="0" xfId="0" applyFont="1" applyFill="1" applyBorder="1" applyAlignment="1">
      <alignment horizontal="center"/>
    </xf>
    <xf numFmtId="166" fontId="9" fillId="0" borderId="18" xfId="0" applyNumberFormat="1" applyFont="1" applyFill="1" applyBorder="1" applyAlignment="1">
      <alignment horizontal="center" vertical="center"/>
    </xf>
    <xf numFmtId="166" fontId="5" fillId="0" borderId="20" xfId="0" applyNumberFormat="1" applyFont="1" applyFill="1" applyBorder="1" applyAlignment="1">
      <alignment horizontal="center"/>
    </xf>
    <xf numFmtId="166" fontId="5" fillId="0" borderId="21" xfId="0" applyNumberFormat="1" applyFont="1" applyFill="1" applyBorder="1" applyAlignment="1">
      <alignment horizontal="center"/>
    </xf>
    <xf numFmtId="166" fontId="5" fillId="0" borderId="22" xfId="0" applyNumberFormat="1" applyFont="1" applyFill="1" applyBorder="1" applyAlignment="1">
      <alignment horizontal="center"/>
    </xf>
    <xf numFmtId="166" fontId="5" fillId="0" borderId="21" xfId="0" applyNumberFormat="1" applyFont="1" applyBorder="1" applyAlignment="1">
      <alignment horizontal="center"/>
    </xf>
    <xf numFmtId="166" fontId="6" fillId="2" borderId="23" xfId="0" applyNumberFormat="1" applyFont="1" applyFill="1" applyBorder="1" applyAlignment="1">
      <alignment horizontal="center"/>
    </xf>
    <xf numFmtId="0" fontId="9" fillId="3" borderId="15" xfId="0" applyFont="1" applyFill="1" applyBorder="1" applyAlignment="1">
      <alignment horizontal="center" vertical="center" wrapText="1"/>
    </xf>
    <xf numFmtId="166" fontId="5" fillId="0" borderId="24" xfId="0" applyNumberFormat="1" applyFont="1" applyFill="1" applyBorder="1" applyAlignment="1">
      <alignment horizontal="center"/>
    </xf>
    <xf numFmtId="0" fontId="9" fillId="3" borderId="5" xfId="0" applyFont="1" applyFill="1" applyBorder="1" applyAlignment="1">
      <alignment horizontal="center" vertical="center" wrapText="1"/>
    </xf>
    <xf numFmtId="165" fontId="5" fillId="3" borderId="16" xfId="0" applyNumberFormat="1" applyFont="1" applyFill="1" applyBorder="1" applyAlignment="1">
      <alignment horizontal="center"/>
    </xf>
    <xf numFmtId="165" fontId="7" fillId="3" borderId="16" xfId="0" applyNumberFormat="1" applyFont="1" applyFill="1" applyBorder="1" applyAlignment="1">
      <alignment horizontal="center" vertical="center"/>
    </xf>
    <xf numFmtId="165" fontId="6" fillId="2" borderId="23" xfId="0" applyNumberFormat="1" applyFont="1" applyFill="1" applyBorder="1" applyAlignment="1">
      <alignment horizontal="center"/>
    </xf>
    <xf numFmtId="165" fontId="5" fillId="0" borderId="20" xfId="0" applyNumberFormat="1" applyFont="1" applyFill="1" applyBorder="1" applyAlignment="1">
      <alignment horizontal="center"/>
    </xf>
    <xf numFmtId="165" fontId="5" fillId="0" borderId="21" xfId="0" applyNumberFormat="1" applyFont="1" applyFill="1" applyBorder="1" applyAlignment="1">
      <alignment horizontal="center"/>
    </xf>
    <xf numFmtId="165" fontId="5" fillId="0" borderId="22" xfId="0" applyNumberFormat="1" applyFont="1" applyFill="1" applyBorder="1" applyAlignment="1">
      <alignment horizontal="center"/>
    </xf>
    <xf numFmtId="165" fontId="5" fillId="0" borderId="2" xfId="0" applyNumberFormat="1" applyFont="1" applyFill="1" applyBorder="1" applyAlignment="1">
      <alignment horizontal="center"/>
    </xf>
    <xf numFmtId="166" fontId="7" fillId="3" borderId="15" xfId="0" quotePrefix="1" applyNumberFormat="1" applyFont="1" applyFill="1" applyBorder="1" applyAlignment="1">
      <alignment horizontal="center" vertical="center"/>
    </xf>
    <xf numFmtId="2" fontId="11" fillId="3" borderId="16" xfId="0" applyNumberFormat="1" applyFont="1" applyFill="1" applyBorder="1" applyAlignment="1">
      <alignment horizontal="center" vertical="center"/>
    </xf>
    <xf numFmtId="2" fontId="6" fillId="2" borderId="23" xfId="0" applyNumberFormat="1" applyFont="1" applyFill="1" applyBorder="1" applyAlignment="1">
      <alignment horizontal="center"/>
    </xf>
    <xf numFmtId="2" fontId="5" fillId="0" borderId="21" xfId="0" applyNumberFormat="1" applyFont="1" applyFill="1" applyBorder="1" applyAlignment="1">
      <alignment horizontal="center"/>
    </xf>
    <xf numFmtId="167" fontId="5" fillId="0" borderId="0" xfId="0" applyNumberFormat="1" applyFont="1" applyBorder="1" applyAlignment="1">
      <alignment horizontal="center"/>
    </xf>
    <xf numFmtId="166" fontId="5" fillId="3" borderId="5" xfId="0" applyNumberFormat="1" applyFont="1" applyFill="1" applyBorder="1" applyAlignment="1">
      <alignment horizontal="center"/>
    </xf>
    <xf numFmtId="166" fontId="7" fillId="3" borderId="5" xfId="0" applyNumberFormat="1" applyFont="1" applyFill="1" applyBorder="1" applyAlignment="1">
      <alignment horizontal="center" vertical="center"/>
    </xf>
    <xf numFmtId="0" fontId="5" fillId="0" borderId="0" xfId="0" applyFont="1" applyFill="1" applyBorder="1"/>
    <xf numFmtId="0" fontId="5" fillId="0" borderId="0" xfId="0" applyFont="1" applyBorder="1"/>
    <xf numFmtId="0" fontId="7" fillId="3" borderId="18" xfId="0" applyFont="1" applyFill="1" applyBorder="1" applyAlignment="1">
      <alignment horizontal="center" vertical="center"/>
    </xf>
    <xf numFmtId="166" fontId="6" fillId="2" borderId="20" xfId="0" applyNumberFormat="1" applyFont="1" applyFill="1" applyBorder="1" applyAlignment="1">
      <alignment horizontal="center"/>
    </xf>
    <xf numFmtId="0" fontId="7" fillId="0" borderId="16" xfId="0" applyFont="1" applyFill="1" applyBorder="1" applyAlignment="1">
      <alignment horizontal="center" vertical="center"/>
    </xf>
    <xf numFmtId="0" fontId="7" fillId="0" borderId="18" xfId="0" applyFont="1" applyFill="1" applyBorder="1" applyAlignment="1">
      <alignment horizontal="center" vertical="center"/>
    </xf>
    <xf numFmtId="166" fontId="5" fillId="0" borderId="23" xfId="0" applyNumberFormat="1" applyFont="1" applyFill="1" applyBorder="1" applyAlignment="1">
      <alignment horizontal="center"/>
    </xf>
    <xf numFmtId="0" fontId="5" fillId="0" borderId="21" xfId="0" applyFont="1" applyFill="1" applyBorder="1"/>
    <xf numFmtId="0" fontId="5" fillId="0" borderId="22" xfId="0" applyFont="1" applyFill="1" applyBorder="1"/>
    <xf numFmtId="0" fontId="5" fillId="0" borderId="21" xfId="0" applyFont="1" applyBorder="1"/>
    <xf numFmtId="0" fontId="5" fillId="0" borderId="22" xfId="0" applyFont="1" applyBorder="1"/>
    <xf numFmtId="165" fontId="9" fillId="5" borderId="4" xfId="0" applyNumberFormat="1" applyFont="1" applyFill="1" applyBorder="1" applyAlignment="1">
      <alignment horizontal="center" vertical="center" wrapText="1"/>
    </xf>
    <xf numFmtId="165" fontId="9" fillId="5" borderId="18" xfId="0" applyNumberFormat="1" applyFont="1" applyFill="1" applyBorder="1" applyAlignment="1">
      <alignment horizontal="center" vertical="center" wrapText="1"/>
    </xf>
    <xf numFmtId="165" fontId="9" fillId="5" borderId="5" xfId="0" applyNumberFormat="1" applyFont="1" applyFill="1" applyBorder="1" applyAlignment="1">
      <alignment horizontal="center" vertical="center" wrapText="1"/>
    </xf>
    <xf numFmtId="166" fontId="5" fillId="3" borderId="15" xfId="0" applyNumberFormat="1" applyFont="1" applyFill="1" applyBorder="1" applyAlignment="1">
      <alignment horizontal="center"/>
    </xf>
    <xf numFmtId="167" fontId="5" fillId="0" borderId="25" xfId="0" applyNumberFormat="1" applyFont="1" applyFill="1" applyBorder="1" applyAlignment="1">
      <alignment horizontal="center"/>
    </xf>
    <xf numFmtId="2" fontId="5" fillId="3" borderId="16" xfId="0" applyNumberFormat="1" applyFont="1" applyFill="1" applyBorder="1" applyAlignment="1">
      <alignment horizontal="center"/>
    </xf>
    <xf numFmtId="2" fontId="7" fillId="3" borderId="26" xfId="0" applyNumberFormat="1" applyFont="1" applyFill="1" applyBorder="1" applyAlignment="1">
      <alignment horizontal="center" vertical="center"/>
    </xf>
    <xf numFmtId="0" fontId="14" fillId="0" borderId="27" xfId="0" applyFont="1" applyBorder="1" applyAlignment="1">
      <alignment horizontal="center" vertical="center" wrapText="1"/>
    </xf>
    <xf numFmtId="0" fontId="5" fillId="0" borderId="18" xfId="0" applyFont="1" applyFill="1" applyBorder="1" applyAlignment="1">
      <alignment horizontal="center"/>
    </xf>
    <xf numFmtId="0" fontId="14" fillId="0" borderId="18" xfId="0" applyFont="1" applyBorder="1" applyAlignment="1">
      <alignment horizontal="center" vertical="center" wrapText="1"/>
    </xf>
    <xf numFmtId="166" fontId="5" fillId="3" borderId="28" xfId="0" applyNumberFormat="1" applyFont="1" applyFill="1" applyBorder="1" applyAlignment="1">
      <alignment horizontal="center"/>
    </xf>
    <xf numFmtId="0" fontId="13" fillId="4" borderId="5" xfId="0" applyFont="1" applyFill="1" applyBorder="1" applyAlignment="1">
      <alignment horizontal="center" vertical="center"/>
    </xf>
    <xf numFmtId="166" fontId="6" fillId="3" borderId="28" xfId="0" applyNumberFormat="1" applyFont="1" applyFill="1" applyBorder="1" applyAlignment="1">
      <alignment horizontal="center" vertical="center"/>
    </xf>
    <xf numFmtId="166" fontId="5" fillId="0" borderId="4" xfId="0" applyNumberFormat="1" applyFont="1" applyFill="1" applyBorder="1" applyAlignment="1">
      <alignment horizontal="center"/>
    </xf>
    <xf numFmtId="166" fontId="5" fillId="0" borderId="5" xfId="0" applyNumberFormat="1" applyFont="1" applyFill="1" applyBorder="1" applyAlignment="1">
      <alignment horizontal="center"/>
    </xf>
    <xf numFmtId="166" fontId="9" fillId="5" borderId="4" xfId="0" applyNumberFormat="1" applyFont="1" applyFill="1" applyBorder="1" applyAlignment="1">
      <alignment horizontal="center" vertical="center" wrapText="1"/>
    </xf>
    <xf numFmtId="166" fontId="9" fillId="5" borderId="5" xfId="0" applyNumberFormat="1" applyFont="1" applyFill="1" applyBorder="1" applyAlignment="1">
      <alignment horizontal="center" vertical="center" wrapText="1"/>
    </xf>
    <xf numFmtId="166" fontId="5" fillId="0" borderId="29" xfId="0" applyNumberFormat="1" applyFont="1" applyFill="1" applyBorder="1" applyAlignment="1">
      <alignment horizontal="center"/>
    </xf>
    <xf numFmtId="166" fontId="5" fillId="0" borderId="30" xfId="0" applyNumberFormat="1" applyFont="1" applyFill="1" applyBorder="1" applyAlignment="1">
      <alignment horizontal="center"/>
    </xf>
    <xf numFmtId="0" fontId="15" fillId="0" borderId="0" xfId="0" applyFont="1" applyFill="1" applyBorder="1" applyAlignment="1">
      <alignment horizontal="center"/>
    </xf>
    <xf numFmtId="166" fontId="5" fillId="0" borderId="31" xfId="0" applyNumberFormat="1" applyFont="1" applyFill="1" applyBorder="1" applyAlignment="1">
      <alignment horizontal="center"/>
    </xf>
    <xf numFmtId="165" fontId="5" fillId="0" borderId="29" xfId="0" applyNumberFormat="1" applyFont="1" applyFill="1" applyBorder="1" applyAlignment="1">
      <alignment horizontal="center"/>
    </xf>
    <xf numFmtId="165" fontId="5" fillId="0" borderId="30" xfId="0" applyNumberFormat="1" applyFont="1" applyFill="1" applyBorder="1" applyAlignment="1">
      <alignment horizontal="center"/>
    </xf>
    <xf numFmtId="166" fontId="6" fillId="2" borderId="28" xfId="0" applyNumberFormat="1" applyFont="1" applyFill="1" applyBorder="1" applyAlignment="1">
      <alignment horizontal="center"/>
    </xf>
    <xf numFmtId="2" fontId="5" fillId="0" borderId="23" xfId="0" applyNumberFormat="1" applyFont="1" applyFill="1" applyBorder="1" applyAlignment="1">
      <alignment horizontal="center"/>
    </xf>
    <xf numFmtId="165" fontId="7" fillId="3" borderId="5" xfId="0" applyNumberFormat="1" applyFont="1" applyFill="1" applyBorder="1" applyAlignment="1">
      <alignment horizontal="center" vertical="center" wrapText="1"/>
    </xf>
    <xf numFmtId="167" fontId="16" fillId="0" borderId="0" xfId="0" applyNumberFormat="1" applyFont="1" applyAlignment="1">
      <alignment horizontal="center"/>
    </xf>
    <xf numFmtId="167" fontId="16" fillId="2" borderId="2" xfId="0" applyNumberFormat="1" applyFont="1" applyFill="1" applyBorder="1" applyAlignment="1">
      <alignment horizontal="center"/>
    </xf>
    <xf numFmtId="167" fontId="16" fillId="0" borderId="0" xfId="0" applyNumberFormat="1" applyFont="1" applyFill="1" applyBorder="1" applyAlignment="1">
      <alignment horizontal="center"/>
    </xf>
    <xf numFmtId="167" fontId="6" fillId="5" borderId="4" xfId="0" applyNumberFormat="1" applyFont="1" applyFill="1" applyBorder="1" applyAlignment="1">
      <alignment horizontal="center" vertical="center" wrapText="1"/>
    </xf>
    <xf numFmtId="167" fontId="9" fillId="5" borderId="18" xfId="0" applyNumberFormat="1" applyFont="1" applyFill="1" applyBorder="1" applyAlignment="1">
      <alignment horizontal="center" vertical="center" wrapText="1"/>
    </xf>
    <xf numFmtId="167" fontId="5" fillId="0" borderId="22" xfId="0" applyNumberFormat="1" applyFont="1" applyFill="1" applyBorder="1" applyAlignment="1">
      <alignment horizontal="center"/>
    </xf>
    <xf numFmtId="167" fontId="16" fillId="0" borderId="3" xfId="0" applyNumberFormat="1" applyFont="1" applyBorder="1" applyAlignment="1">
      <alignment horizontal="center"/>
    </xf>
    <xf numFmtId="0" fontId="18" fillId="0" borderId="0" xfId="0" applyFont="1"/>
    <xf numFmtId="0" fontId="0" fillId="0" borderId="0" xfId="0" applyAlignment="1">
      <alignment horizontal="right"/>
    </xf>
    <xf numFmtId="0" fontId="0" fillId="0" borderId="13" xfId="0" applyBorder="1" applyAlignment="1">
      <alignment horizontal="center"/>
    </xf>
    <xf numFmtId="2" fontId="9" fillId="5" borderId="15" xfId="0" applyNumberFormat="1" applyFont="1" applyFill="1" applyBorder="1" applyAlignment="1">
      <alignment horizontal="center" vertical="center" wrapText="1"/>
    </xf>
    <xf numFmtId="167" fontId="5" fillId="3" borderId="18" xfId="0" applyNumberFormat="1" applyFont="1" applyFill="1" applyBorder="1" applyAlignment="1">
      <alignment horizontal="center"/>
    </xf>
    <xf numFmtId="167" fontId="6" fillId="3" borderId="18" xfId="0" applyNumberFormat="1" applyFont="1" applyFill="1" applyBorder="1" applyAlignment="1">
      <alignment horizontal="center" vertical="center" wrapText="1"/>
    </xf>
    <xf numFmtId="165" fontId="2" fillId="0" borderId="0" xfId="0" applyNumberFormat="1" applyFont="1" applyAlignment="1">
      <alignment horizontal="right"/>
    </xf>
    <xf numFmtId="165" fontId="4" fillId="0" borderId="0" xfId="0" applyNumberFormat="1" applyFont="1" applyBorder="1" applyAlignment="1">
      <alignment horizontal="right"/>
    </xf>
    <xf numFmtId="165" fontId="2" fillId="0" borderId="0" xfId="0" applyNumberFormat="1" applyFont="1" applyBorder="1" applyAlignment="1">
      <alignment horizontal="left"/>
    </xf>
    <xf numFmtId="1" fontId="2" fillId="0" borderId="0" xfId="0" applyNumberFormat="1" applyFont="1" applyBorder="1" applyAlignment="1">
      <alignment horizontal="left"/>
    </xf>
    <xf numFmtId="0" fontId="0" fillId="3" borderId="13" xfId="0" applyFill="1" applyBorder="1" applyAlignment="1">
      <alignment horizontal="center"/>
    </xf>
    <xf numFmtId="0" fontId="6" fillId="3" borderId="4" xfId="0" applyFont="1" applyFill="1" applyBorder="1" applyAlignment="1">
      <alignment horizontal="center" vertical="center" textRotation="90"/>
    </xf>
    <xf numFmtId="167" fontId="0" fillId="3" borderId="13" xfId="0" applyNumberFormat="1" applyFill="1" applyBorder="1" applyAlignment="1">
      <alignment horizontal="center"/>
    </xf>
    <xf numFmtId="166" fontId="5" fillId="0" borderId="6" xfId="0" applyNumberFormat="1" applyFont="1" applyFill="1" applyBorder="1" applyAlignment="1">
      <alignment horizontal="center"/>
    </xf>
    <xf numFmtId="49" fontId="5" fillId="0" borderId="0" xfId="0" applyNumberFormat="1" applyFont="1" applyAlignment="1">
      <alignment horizontal="left"/>
    </xf>
    <xf numFmtId="168" fontId="5" fillId="0" borderId="0" xfId="0" applyNumberFormat="1" applyFont="1" applyAlignment="1">
      <alignment horizontal="left"/>
    </xf>
    <xf numFmtId="0" fontId="5" fillId="0" borderId="14" xfId="0" applyFont="1" applyBorder="1" applyAlignment="1">
      <alignment horizontal="right"/>
    </xf>
    <xf numFmtId="2" fontId="5" fillId="0" borderId="12" xfId="0" applyNumberFormat="1" applyFont="1" applyBorder="1" applyAlignment="1">
      <alignment horizontal="left"/>
    </xf>
    <xf numFmtId="166" fontId="5" fillId="0" borderId="32" xfId="0" applyNumberFormat="1" applyFont="1" applyFill="1" applyBorder="1" applyAlignment="1">
      <alignment horizontal="center"/>
    </xf>
    <xf numFmtId="166" fontId="5" fillId="0" borderId="33" xfId="0" applyNumberFormat="1" applyFont="1" applyFill="1" applyBorder="1" applyAlignment="1">
      <alignment horizontal="center"/>
    </xf>
    <xf numFmtId="166" fontId="5" fillId="3" borderId="5" xfId="0" applyNumberFormat="1" applyFont="1" applyFill="1" applyBorder="1" applyAlignment="1">
      <alignment horizontal="center" wrapText="1"/>
    </xf>
    <xf numFmtId="165" fontId="5" fillId="0" borderId="27" xfId="0" applyNumberFormat="1" applyFont="1" applyFill="1" applyBorder="1" applyAlignment="1">
      <alignment horizontal="center"/>
    </xf>
    <xf numFmtId="0" fontId="0" fillId="0" borderId="27" xfId="0" applyBorder="1" applyAlignment="1">
      <alignment horizontal="center"/>
    </xf>
    <xf numFmtId="0" fontId="0" fillId="0" borderId="31" xfId="0" applyBorder="1" applyAlignment="1">
      <alignment horizontal="center"/>
    </xf>
    <xf numFmtId="0" fontId="5" fillId="0" borderId="14" xfId="0" applyFont="1" applyBorder="1" applyAlignment="1">
      <alignment horizontal="right"/>
    </xf>
    <xf numFmtId="0" fontId="0" fillId="0" borderId="11" xfId="0" applyBorder="1"/>
    <xf numFmtId="0" fontId="6" fillId="3" borderId="26" xfId="0" applyFont="1" applyFill="1" applyBorder="1" applyAlignment="1">
      <alignment horizontal="center"/>
    </xf>
    <xf numFmtId="0" fontId="5" fillId="3" borderId="27" xfId="0" applyFont="1" applyFill="1" applyBorder="1" applyAlignment="1">
      <alignment horizontal="center"/>
    </xf>
    <xf numFmtId="0" fontId="5" fillId="3" borderId="31" xfId="0" applyFont="1" applyFill="1" applyBorder="1" applyAlignment="1">
      <alignment horizontal="center"/>
    </xf>
    <xf numFmtId="0" fontId="6" fillId="0" borderId="26" xfId="0" applyFont="1" applyFill="1" applyBorder="1" applyAlignment="1">
      <alignment horizontal="center"/>
    </xf>
    <xf numFmtId="0" fontId="6" fillId="0" borderId="27" xfId="0" applyFont="1" applyFill="1" applyBorder="1" applyAlignment="1">
      <alignment horizontal="center"/>
    </xf>
    <xf numFmtId="0" fontId="6" fillId="0" borderId="31" xfId="0" applyFont="1" applyFill="1" applyBorder="1" applyAlignment="1">
      <alignment horizontal="center"/>
    </xf>
    <xf numFmtId="165" fontId="5" fillId="0" borderId="5" xfId="0" applyNumberFormat="1" applyFont="1" applyFill="1" applyBorder="1" applyAlignment="1">
      <alignment horizontal="center"/>
    </xf>
    <xf numFmtId="165" fontId="0" fillId="0" borderId="31" xfId="0" applyNumberFormat="1" applyFill="1" applyBorder="1" applyAlignment="1">
      <alignment horizontal="center"/>
    </xf>
    <xf numFmtId="165" fontId="0" fillId="0" borderId="27" xfId="0" applyNumberFormat="1" applyBorder="1" applyAlignment="1">
      <alignment horizontal="center"/>
    </xf>
    <xf numFmtId="165" fontId="0" fillId="0" borderId="31" xfId="0" applyNumberFormat="1" applyBorder="1" applyAlignment="1">
      <alignment horizontal="center"/>
    </xf>
    <xf numFmtId="165" fontId="5" fillId="3" borderId="26" xfId="0" applyNumberFormat="1" applyFont="1" applyFill="1" applyBorder="1" applyAlignment="1">
      <alignment horizontal="center"/>
    </xf>
    <xf numFmtId="165" fontId="0" fillId="0" borderId="15" xfId="0" applyNumberFormat="1" applyBorder="1" applyAlignment="1">
      <alignment horizontal="center"/>
    </xf>
    <xf numFmtId="49" fontId="19" fillId="0" borderId="0" xfId="0" applyNumberFormat="1" applyFont="1" applyAlignment="1">
      <alignment horizontal="left"/>
    </xf>
    <xf numFmtId="0" fontId="20" fillId="2" borderId="1" xfId="0" applyFont="1" applyFill="1" applyBorder="1" applyAlignment="1">
      <alignment horizontal="center"/>
    </xf>
    <xf numFmtId="0" fontId="21" fillId="2" borderId="10" xfId="0" applyFont="1" applyFill="1" applyBorder="1" applyAlignment="1">
      <alignment horizontal="center"/>
    </xf>
    <xf numFmtId="0" fontId="20" fillId="4" borderId="2" xfId="0" applyFont="1" applyFill="1" applyBorder="1" applyAlignment="1">
      <alignment horizontal="center"/>
    </xf>
    <xf numFmtId="166" fontId="20" fillId="2" borderId="19" xfId="0" applyNumberFormat="1" applyFont="1" applyFill="1" applyBorder="1" applyAlignment="1">
      <alignment horizontal="center"/>
    </xf>
    <xf numFmtId="166" fontId="19" fillId="0" borderId="20" xfId="0" applyNumberFormat="1" applyFont="1" applyFill="1" applyBorder="1" applyAlignment="1">
      <alignment horizontal="center"/>
    </xf>
    <xf numFmtId="166" fontId="20" fillId="2" borderId="9" xfId="0" applyNumberFormat="1" applyFont="1" applyFill="1" applyBorder="1" applyAlignment="1">
      <alignment horizontal="center"/>
    </xf>
    <xf numFmtId="166" fontId="20" fillId="2" borderId="8" xfId="0" applyNumberFormat="1" applyFont="1" applyFill="1" applyBorder="1" applyAlignment="1">
      <alignment horizontal="center"/>
    </xf>
    <xf numFmtId="166" fontId="19" fillId="0" borderId="1" xfId="0" applyNumberFormat="1" applyFont="1" applyFill="1" applyBorder="1" applyAlignment="1">
      <alignment horizontal="center"/>
    </xf>
    <xf numFmtId="166" fontId="19" fillId="0" borderId="2" xfId="0" applyNumberFormat="1" applyFont="1" applyFill="1" applyBorder="1" applyAlignment="1">
      <alignment horizontal="center"/>
    </xf>
    <xf numFmtId="166" fontId="20" fillId="2" borderId="10" xfId="0" applyNumberFormat="1" applyFont="1" applyFill="1" applyBorder="1" applyAlignment="1">
      <alignment horizontal="center"/>
    </xf>
    <xf numFmtId="165" fontId="20" fillId="2" borderId="23" xfId="0" applyNumberFormat="1" applyFont="1" applyFill="1" applyBorder="1" applyAlignment="1">
      <alignment horizontal="center"/>
    </xf>
    <xf numFmtId="165" fontId="20" fillId="2" borderId="2" xfId="0" applyNumberFormat="1" applyFont="1" applyFill="1" applyBorder="1" applyAlignment="1">
      <alignment horizontal="center"/>
    </xf>
    <xf numFmtId="165" fontId="19" fillId="0" borderId="1" xfId="0" applyNumberFormat="1" applyFont="1" applyFill="1" applyBorder="1" applyAlignment="1">
      <alignment horizontal="center"/>
    </xf>
    <xf numFmtId="165" fontId="19" fillId="0" borderId="20" xfId="0" applyNumberFormat="1" applyFont="1" applyFill="1" applyBorder="1" applyAlignment="1">
      <alignment horizontal="center"/>
    </xf>
    <xf numFmtId="165" fontId="20" fillId="2" borderId="1" xfId="0" applyNumberFormat="1" applyFont="1" applyFill="1" applyBorder="1" applyAlignment="1">
      <alignment horizontal="center"/>
    </xf>
    <xf numFmtId="165" fontId="19" fillId="0" borderId="2" xfId="0" applyNumberFormat="1" applyFont="1" applyFill="1" applyBorder="1" applyAlignment="1">
      <alignment horizontal="center"/>
    </xf>
    <xf numFmtId="2" fontId="20" fillId="2" borderId="23" xfId="0" applyNumberFormat="1" applyFont="1" applyFill="1" applyBorder="1" applyAlignment="1">
      <alignment horizontal="center"/>
    </xf>
    <xf numFmtId="167" fontId="20" fillId="2" borderId="1" xfId="0" applyNumberFormat="1" applyFont="1" applyFill="1" applyBorder="1" applyAlignment="1">
      <alignment horizontal="center"/>
    </xf>
    <xf numFmtId="167" fontId="19" fillId="2" borderId="2" xfId="0" applyNumberFormat="1" applyFont="1" applyFill="1" applyBorder="1" applyAlignment="1">
      <alignment horizontal="center"/>
    </xf>
    <xf numFmtId="2" fontId="19" fillId="0" borderId="23" xfId="0" applyNumberFormat="1" applyFont="1" applyFill="1" applyBorder="1" applyAlignment="1">
      <alignment horizontal="center"/>
    </xf>
    <xf numFmtId="167" fontId="19" fillId="0" borderId="1" xfId="0" applyNumberFormat="1" applyFont="1" applyFill="1" applyBorder="1" applyAlignment="1">
      <alignment horizontal="center"/>
    </xf>
    <xf numFmtId="167" fontId="19" fillId="0" borderId="25" xfId="0" applyNumberFormat="1" applyFont="1" applyFill="1" applyBorder="1" applyAlignment="1">
      <alignment horizontal="center"/>
    </xf>
    <xf numFmtId="166" fontId="20" fillId="2" borderId="28" xfId="0" applyNumberFormat="1" applyFont="1" applyFill="1" applyBorder="1" applyAlignment="1">
      <alignment horizontal="center"/>
    </xf>
    <xf numFmtId="166" fontId="20" fillId="2" borderId="7" xfId="0" applyNumberFormat="1" applyFont="1" applyFill="1" applyBorder="1" applyAlignment="1">
      <alignment horizontal="center"/>
    </xf>
    <xf numFmtId="166" fontId="20" fillId="2" borderId="1" xfId="0" applyNumberFormat="1" applyFont="1" applyFill="1" applyBorder="1" applyAlignment="1">
      <alignment horizontal="center"/>
    </xf>
    <xf numFmtId="166" fontId="20" fillId="2" borderId="2" xfId="0" applyNumberFormat="1" applyFont="1" applyFill="1" applyBorder="1" applyAlignment="1">
      <alignment horizontal="center"/>
    </xf>
    <xf numFmtId="166" fontId="20" fillId="2" borderId="23" xfId="0" applyNumberFormat="1" applyFont="1" applyFill="1" applyBorder="1" applyAlignment="1">
      <alignment horizontal="center"/>
    </xf>
    <xf numFmtId="166" fontId="20" fillId="2" borderId="20" xfId="0" applyNumberFormat="1" applyFont="1" applyFill="1" applyBorder="1" applyAlignment="1">
      <alignment horizontal="center"/>
    </xf>
    <xf numFmtId="166" fontId="19" fillId="0" borderId="23" xfId="0" applyNumberFormat="1" applyFont="1" applyFill="1" applyBorder="1" applyAlignment="1">
      <alignment horizontal="center"/>
    </xf>
    <xf numFmtId="0" fontId="19" fillId="0" borderId="0" xfId="0" applyFont="1"/>
    <xf numFmtId="0" fontId="22" fillId="0" borderId="0" xfId="0" applyFont="1"/>
    <xf numFmtId="0" fontId="19" fillId="0" borderId="0" xfId="0" applyFont="1" applyFill="1"/>
    <xf numFmtId="0" fontId="19" fillId="0" borderId="0" xfId="0" applyFont="1" applyAlignment="1">
      <alignment horizontal="center"/>
    </xf>
    <xf numFmtId="0" fontId="20" fillId="0" borderId="0" xfId="0" applyFont="1" applyFill="1" applyBorder="1" applyAlignment="1">
      <alignment horizontal="center"/>
    </xf>
    <xf numFmtId="166" fontId="19" fillId="0" borderId="21" xfId="0" applyNumberFormat="1" applyFont="1" applyFill="1" applyBorder="1" applyAlignment="1">
      <alignment horizontal="center"/>
    </xf>
    <xf numFmtId="166" fontId="19" fillId="0" borderId="22" xfId="0" applyNumberFormat="1" applyFont="1" applyFill="1" applyBorder="1" applyAlignment="1">
      <alignment horizontal="center"/>
    </xf>
    <xf numFmtId="166" fontId="19" fillId="0" borderId="0" xfId="0" applyNumberFormat="1" applyFont="1" applyFill="1" applyBorder="1" applyAlignment="1">
      <alignment horizontal="center"/>
    </xf>
    <xf numFmtId="166" fontId="19" fillId="0" borderId="0" xfId="0" applyNumberFormat="1" applyFont="1" applyFill="1" applyAlignment="1">
      <alignment horizontal="center"/>
    </xf>
    <xf numFmtId="2" fontId="19" fillId="0" borderId="0" xfId="0" applyNumberFormat="1" applyFont="1" applyFill="1" applyAlignment="1">
      <alignment horizontal="center"/>
    </xf>
    <xf numFmtId="165" fontId="19" fillId="0" borderId="21" xfId="0" applyNumberFormat="1" applyFont="1" applyFill="1" applyBorder="1" applyAlignment="1">
      <alignment horizontal="center"/>
    </xf>
    <xf numFmtId="165" fontId="19" fillId="0" borderId="0" xfId="0" applyNumberFormat="1" applyFont="1" applyFill="1" applyBorder="1" applyAlignment="1">
      <alignment horizontal="center"/>
    </xf>
    <xf numFmtId="165" fontId="19" fillId="0" borderId="22" xfId="0" applyNumberFormat="1" applyFont="1" applyFill="1" applyBorder="1" applyAlignment="1">
      <alignment horizontal="center"/>
    </xf>
    <xf numFmtId="165" fontId="19" fillId="0" borderId="29" xfId="0" applyNumberFormat="1" applyFont="1" applyFill="1" applyBorder="1" applyAlignment="1">
      <alignment horizontal="center"/>
    </xf>
    <xf numFmtId="165" fontId="19" fillId="0" borderId="30" xfId="0" applyNumberFormat="1" applyFont="1" applyFill="1" applyBorder="1" applyAlignment="1">
      <alignment horizontal="center"/>
    </xf>
    <xf numFmtId="2" fontId="19" fillId="0" borderId="21" xfId="0" applyNumberFormat="1" applyFont="1" applyFill="1" applyBorder="1" applyAlignment="1">
      <alignment horizontal="center"/>
    </xf>
    <xf numFmtId="167" fontId="19" fillId="0" borderId="0" xfId="0" applyNumberFormat="1" applyFont="1" applyFill="1" applyBorder="1" applyAlignment="1">
      <alignment horizontal="center"/>
    </xf>
    <xf numFmtId="167" fontId="19" fillId="0" borderId="22" xfId="0" applyNumberFormat="1" applyFont="1" applyFill="1" applyBorder="1" applyAlignment="1">
      <alignment horizontal="center"/>
    </xf>
    <xf numFmtId="166" fontId="19" fillId="0" borderId="0" xfId="0" applyNumberFormat="1" applyFont="1" applyBorder="1" applyAlignment="1">
      <alignment horizontal="center"/>
    </xf>
    <xf numFmtId="166" fontId="19" fillId="0" borderId="29" xfId="0" applyNumberFormat="1" applyFont="1" applyFill="1" applyBorder="1" applyAlignment="1">
      <alignment horizontal="center"/>
    </xf>
    <xf numFmtId="166" fontId="19" fillId="0" borderId="30" xfId="0" applyNumberFormat="1" applyFont="1" applyFill="1" applyBorder="1" applyAlignment="1">
      <alignment horizontal="center"/>
    </xf>
    <xf numFmtId="166" fontId="19" fillId="0" borderId="21" xfId="0" applyNumberFormat="1" applyFont="1" applyBorder="1" applyAlignment="1">
      <alignment horizontal="center"/>
    </xf>
    <xf numFmtId="166" fontId="19" fillId="0" borderId="32" xfId="0" applyNumberFormat="1" applyFont="1" applyFill="1" applyBorder="1" applyAlignment="1">
      <alignment horizontal="center"/>
    </xf>
    <xf numFmtId="0" fontId="19" fillId="0" borderId="21" xfId="0" applyFont="1" applyFill="1" applyBorder="1"/>
    <xf numFmtId="0" fontId="19" fillId="0" borderId="0" xfId="0" applyFont="1" applyFill="1" applyBorder="1"/>
    <xf numFmtId="0" fontId="19" fillId="0" borderId="22" xfId="0" applyFont="1" applyFill="1" applyBorder="1"/>
    <xf numFmtId="166" fontId="19" fillId="0" borderId="0" xfId="0" applyNumberFormat="1" applyFont="1" applyAlignment="1">
      <alignment horizontal="center"/>
    </xf>
    <xf numFmtId="167" fontId="19" fillId="0" borderId="0" xfId="0" applyNumberFormat="1" applyFont="1" applyBorder="1" applyAlignment="1">
      <alignment horizontal="center"/>
    </xf>
    <xf numFmtId="0" fontId="19" fillId="0" borderId="0" xfId="0" applyFont="1" applyBorder="1" applyAlignment="1">
      <alignment horizontal="center"/>
    </xf>
    <xf numFmtId="166" fontId="19" fillId="0" borderId="24" xfId="0" applyNumberFormat="1" applyFont="1" applyFill="1" applyBorder="1" applyAlignment="1">
      <alignment horizontal="center"/>
    </xf>
    <xf numFmtId="2" fontId="19" fillId="0" borderId="0" xfId="0" applyNumberFormat="1" applyFont="1" applyFill="1" applyBorder="1" applyAlignment="1">
      <alignment horizontal="center"/>
    </xf>
    <xf numFmtId="166" fontId="19" fillId="0" borderId="33" xfId="0" applyNumberFormat="1" applyFont="1" applyFill="1" applyBorder="1" applyAlignment="1">
      <alignment horizontal="center"/>
    </xf>
    <xf numFmtId="166" fontId="19" fillId="0" borderId="6" xfId="0" applyNumberFormat="1" applyFont="1" applyFill="1" applyBorder="1" applyAlignment="1">
      <alignment horizontal="center"/>
    </xf>
  </cellXfs>
  <cellStyles count="1">
    <cellStyle name="Normal" xfId="0" builtinId="0"/>
  </cellStyles>
  <dxfs count="5">
    <dxf>
      <font>
        <condense val="0"/>
        <extend val="0"/>
        <color indexed="9"/>
      </font>
    </dxf>
    <dxf>
      <font>
        <condense val="0"/>
        <extend val="0"/>
        <color indexed="12"/>
      </font>
    </dxf>
    <dxf>
      <font>
        <b val="0"/>
        <i val="0"/>
        <condense val="0"/>
        <extend val="0"/>
        <color indexed="10"/>
      </font>
    </dxf>
    <dxf>
      <font>
        <b val="0"/>
        <i val="0"/>
        <condense val="0"/>
        <extend val="0"/>
        <color indexed="12"/>
      </font>
    </dxf>
    <dxf>
      <font>
        <b val="0"/>
        <i val="0"/>
        <condense val="0"/>
        <extend val="0"/>
        <color indexed="10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HP154"/>
  <sheetViews>
    <sheetView tabSelected="1" zoomScale="85" zoomScaleNormal="70" workbookViewId="0">
      <pane xSplit="4" ySplit="8" topLeftCell="E39" activePane="bottomRight" state="frozen"/>
      <selection pane="topRight" activeCell="E1" sqref="E1"/>
      <selection pane="bottomLeft" activeCell="A9" sqref="A9"/>
      <selection pane="bottomRight" activeCell="A77" sqref="A77"/>
    </sheetView>
  </sheetViews>
  <sheetFormatPr defaultColWidth="7.75" defaultRowHeight="13.5" x14ac:dyDescent="0.25"/>
  <cols>
    <col min="1" max="1" width="37.75" style="42" customWidth="1"/>
    <col min="2" max="2" width="4.625" style="2" customWidth="1"/>
    <col min="3" max="3" width="5" style="2" bestFit="1" customWidth="1"/>
    <col min="4" max="4" width="4.5" style="17" customWidth="1"/>
    <col min="5" max="5" width="7.625" style="2" customWidth="1"/>
    <col min="6" max="6" width="7.625" style="5" customWidth="1"/>
    <col min="7" max="10" width="7.625" style="2" customWidth="1"/>
    <col min="11" max="14" width="7.625" style="5" customWidth="1"/>
    <col min="15" max="17" width="7.625" style="2" customWidth="1"/>
    <col min="18" max="20" width="7.625" style="5" customWidth="1"/>
    <col min="21" max="22" width="8.25" style="2" customWidth="1"/>
    <col min="23" max="29" width="7.75" style="14" customWidth="1"/>
    <col min="30" max="34" width="7.625" style="14" customWidth="1"/>
    <col min="35" max="35" width="8.5" style="23" customWidth="1"/>
    <col min="36" max="36" width="9.375" style="33" customWidth="1"/>
    <col min="37" max="37" width="10.125" style="137" customWidth="1"/>
    <col min="38" max="38" width="7.625" style="23" customWidth="1"/>
    <col min="39" max="39" width="9.125" style="33" customWidth="1"/>
    <col min="40" max="40" width="9.5" style="33" customWidth="1"/>
    <col min="41" max="41" width="8.75" style="5" customWidth="1"/>
    <col min="42" max="46" width="7.625" style="5" customWidth="1"/>
    <col min="47" max="49" width="7.625" style="28" customWidth="1"/>
    <col min="50" max="50" width="7.625" style="23" customWidth="1"/>
    <col min="51" max="51" width="8.5" style="23" bestFit="1" customWidth="1"/>
    <col min="52" max="53" width="7.625" style="38" customWidth="1"/>
    <col min="54" max="71" width="7.625" style="2" customWidth="1"/>
    <col min="72" max="89" width="7.625" style="1" customWidth="1"/>
    <col min="90" max="112" width="9" customWidth="1"/>
    <col min="113" max="16384" width="7.75" style="1"/>
  </cols>
  <sheetData>
    <row r="1" spans="1:224" ht="14.25" thickBot="1" x14ac:dyDescent="0.3">
      <c r="A1" s="158">
        <v>0</v>
      </c>
      <c r="D1" s="168" t="s">
        <v>9</v>
      </c>
      <c r="E1" s="169"/>
      <c r="F1" s="49">
        <v>3.75</v>
      </c>
      <c r="G1" s="52"/>
      <c r="H1" s="53" t="s">
        <v>10</v>
      </c>
      <c r="I1" s="49">
        <v>49</v>
      </c>
      <c r="J1" s="52"/>
      <c r="K1" s="53" t="s">
        <v>11</v>
      </c>
      <c r="L1" s="49">
        <v>0</v>
      </c>
      <c r="M1" s="51"/>
      <c r="N1" s="48" t="s">
        <v>12</v>
      </c>
      <c r="O1" s="50">
        <v>0</v>
      </c>
      <c r="P1" s="160" t="s">
        <v>116</v>
      </c>
      <c r="Q1" s="161">
        <v>1.4735620076832756</v>
      </c>
      <c r="W1" s="46"/>
      <c r="AA1" s="150" t="s">
        <v>85</v>
      </c>
      <c r="AB1" s="151" t="s">
        <v>97</v>
      </c>
      <c r="AC1" s="153">
        <v>25</v>
      </c>
      <c r="AD1" s="152"/>
      <c r="AF1" s="30" t="s">
        <v>19</v>
      </c>
      <c r="AJ1" s="34" t="s">
        <v>109</v>
      </c>
      <c r="AK1" s="148" t="s">
        <v>107</v>
      </c>
      <c r="AT1" s="27"/>
      <c r="AX1" s="23" t="s">
        <v>114</v>
      </c>
      <c r="AY1" s="23" t="s">
        <v>115</v>
      </c>
      <c r="BB1" s="2">
        <v>53</v>
      </c>
      <c r="CH1" s="40"/>
      <c r="CL1" s="1"/>
    </row>
    <row r="2" spans="1:224" ht="30.75" customHeight="1" thickBot="1" x14ac:dyDescent="0.4">
      <c r="A2" s="159">
        <f ca="1">TODAY()</f>
        <v>43140</v>
      </c>
      <c r="D2" s="47"/>
      <c r="F2" s="45"/>
      <c r="G2" s="67"/>
      <c r="H2" s="67"/>
      <c r="I2" s="67"/>
      <c r="J2" s="67"/>
      <c r="K2" s="130"/>
      <c r="L2" s="45"/>
      <c r="M2" s="45"/>
      <c r="N2" s="45"/>
      <c r="R2" s="45"/>
      <c r="S2" s="45"/>
      <c r="T2" s="45"/>
      <c r="W2" s="86" t="s">
        <v>20</v>
      </c>
      <c r="X2" s="55" t="s">
        <v>20</v>
      </c>
      <c r="Y2" s="176" t="s">
        <v>86</v>
      </c>
      <c r="Z2" s="177"/>
      <c r="AA2" s="180" t="s">
        <v>100</v>
      </c>
      <c r="AB2" s="178"/>
      <c r="AC2" s="178"/>
      <c r="AD2" s="181"/>
      <c r="AE2" s="176" t="s">
        <v>88</v>
      </c>
      <c r="AF2" s="178"/>
      <c r="AG2" s="178"/>
      <c r="AH2" s="179"/>
      <c r="AI2" s="116" t="s">
        <v>25</v>
      </c>
      <c r="AJ2" s="34" t="s">
        <v>108</v>
      </c>
      <c r="AK2" s="148" t="s">
        <v>108</v>
      </c>
      <c r="AL2" s="165" t="s">
        <v>87</v>
      </c>
      <c r="AM2" s="166"/>
      <c r="AN2" s="167"/>
      <c r="AO2" s="121" t="s">
        <v>92</v>
      </c>
      <c r="AP2" s="114" t="s">
        <v>13</v>
      </c>
      <c r="AQ2" s="24" t="s">
        <v>89</v>
      </c>
      <c r="AR2" s="98" t="s">
        <v>90</v>
      </c>
      <c r="AS2" s="164" t="s">
        <v>117</v>
      </c>
      <c r="AT2" s="124" t="s">
        <v>13</v>
      </c>
      <c r="AU2" s="125" t="s">
        <v>89</v>
      </c>
      <c r="AV2" s="124" t="s">
        <v>90</v>
      </c>
      <c r="AW2" s="131" t="s">
        <v>14</v>
      </c>
      <c r="AX2" s="116" t="s">
        <v>16</v>
      </c>
      <c r="AY2" s="68" t="s">
        <v>118</v>
      </c>
      <c r="AZ2" s="26" t="s">
        <v>15</v>
      </c>
      <c r="BA2" s="119" t="s">
        <v>16</v>
      </c>
      <c r="BB2" s="170" t="s">
        <v>35</v>
      </c>
      <c r="BC2" s="171"/>
      <c r="BD2" s="171"/>
      <c r="BE2" s="171"/>
      <c r="BF2" s="171"/>
      <c r="BG2" s="171"/>
      <c r="BH2" s="171"/>
      <c r="BI2" s="171"/>
      <c r="BJ2" s="171"/>
      <c r="BK2" s="171"/>
      <c r="BL2" s="171"/>
      <c r="BM2" s="171"/>
      <c r="BN2" s="171"/>
      <c r="BO2" s="171"/>
      <c r="BP2" s="171"/>
      <c r="BQ2" s="171"/>
      <c r="BR2" s="171"/>
      <c r="BS2" s="172"/>
      <c r="BT2" s="173" t="s">
        <v>36</v>
      </c>
      <c r="BU2" s="174"/>
      <c r="BV2" s="174"/>
      <c r="BW2" s="174"/>
      <c r="BX2" s="174"/>
      <c r="BY2" s="174"/>
      <c r="BZ2" s="174"/>
      <c r="CA2" s="174"/>
      <c r="CB2" s="174"/>
      <c r="CC2" s="174"/>
      <c r="CD2" s="174"/>
      <c r="CE2" s="174"/>
      <c r="CF2" s="174"/>
      <c r="CG2" s="174"/>
      <c r="CH2" s="174"/>
      <c r="CI2" s="174"/>
      <c r="CJ2" s="174"/>
      <c r="CK2" s="175"/>
      <c r="CL2" s="1"/>
    </row>
    <row r="3" spans="1:224" s="20" customFormat="1" ht="34.5" customHeight="1" thickBot="1" x14ac:dyDescent="0.3">
      <c r="A3" s="59" t="s">
        <v>17</v>
      </c>
      <c r="B3" s="155" t="s">
        <v>112</v>
      </c>
      <c r="C3" s="60" t="s">
        <v>57</v>
      </c>
      <c r="D3" s="122" t="s">
        <v>95</v>
      </c>
      <c r="E3" s="59" t="s">
        <v>55</v>
      </c>
      <c r="F3" s="77" t="s">
        <v>37</v>
      </c>
      <c r="G3" s="58" t="s">
        <v>42</v>
      </c>
      <c r="H3" s="57" t="s">
        <v>43</v>
      </c>
      <c r="I3" s="57" t="s">
        <v>44</v>
      </c>
      <c r="J3" s="58" t="s">
        <v>45</v>
      </c>
      <c r="K3" s="54" t="s">
        <v>38</v>
      </c>
      <c r="L3" s="54" t="s">
        <v>39</v>
      </c>
      <c r="M3" s="54" t="s">
        <v>40</v>
      </c>
      <c r="N3" s="73" t="s">
        <v>41</v>
      </c>
      <c r="O3" s="59" t="s">
        <v>46</v>
      </c>
      <c r="P3" s="57" t="s">
        <v>47</v>
      </c>
      <c r="Q3" s="57" t="s">
        <v>48</v>
      </c>
      <c r="R3" s="54" t="s">
        <v>49</v>
      </c>
      <c r="S3" s="54" t="s">
        <v>50</v>
      </c>
      <c r="T3" s="77" t="s">
        <v>51</v>
      </c>
      <c r="U3" s="83" t="s">
        <v>52</v>
      </c>
      <c r="V3" s="85" t="s">
        <v>53</v>
      </c>
      <c r="W3" s="87" t="s">
        <v>21</v>
      </c>
      <c r="X3" s="61" t="s">
        <v>22</v>
      </c>
      <c r="Y3" s="111" t="s">
        <v>58</v>
      </c>
      <c r="Z3" s="112" t="s">
        <v>59</v>
      </c>
      <c r="AA3" s="87" t="s">
        <v>98</v>
      </c>
      <c r="AB3" s="62" t="s">
        <v>23</v>
      </c>
      <c r="AC3" s="62" t="s">
        <v>24</v>
      </c>
      <c r="AD3" s="136" t="s">
        <v>99</v>
      </c>
      <c r="AE3" s="111" t="s">
        <v>60</v>
      </c>
      <c r="AF3" s="111" t="s">
        <v>61</v>
      </c>
      <c r="AG3" s="113" t="s">
        <v>62</v>
      </c>
      <c r="AH3" s="112" t="s">
        <v>64</v>
      </c>
      <c r="AI3" s="94" t="s">
        <v>54</v>
      </c>
      <c r="AJ3" s="63" t="s">
        <v>96</v>
      </c>
      <c r="AK3" s="149" t="s">
        <v>110</v>
      </c>
      <c r="AL3" s="147" t="s">
        <v>63</v>
      </c>
      <c r="AM3" s="140" t="s">
        <v>96</v>
      </c>
      <c r="AN3" s="141" t="s">
        <v>84</v>
      </c>
      <c r="AO3" s="123" t="s">
        <v>91</v>
      </c>
      <c r="AP3" s="93" t="s">
        <v>18</v>
      </c>
      <c r="AQ3" s="64" t="s">
        <v>18</v>
      </c>
      <c r="AR3" s="99" t="s">
        <v>18</v>
      </c>
      <c r="AS3" s="99" t="s">
        <v>18</v>
      </c>
      <c r="AT3" s="126" t="s">
        <v>65</v>
      </c>
      <c r="AU3" s="127" t="s">
        <v>65</v>
      </c>
      <c r="AV3" s="126" t="s">
        <v>65</v>
      </c>
      <c r="AW3" s="127" t="s">
        <v>65</v>
      </c>
      <c r="AX3" s="117" t="s">
        <v>93</v>
      </c>
      <c r="AY3" s="65" t="s">
        <v>93</v>
      </c>
      <c r="AZ3" s="118" t="s">
        <v>94</v>
      </c>
      <c r="BA3" s="120" t="s">
        <v>94</v>
      </c>
      <c r="BB3" s="69" t="s">
        <v>101</v>
      </c>
      <c r="BC3" s="69" t="s">
        <v>102</v>
      </c>
      <c r="BD3" s="69" t="s">
        <v>103</v>
      </c>
      <c r="BE3" s="69" t="s">
        <v>104</v>
      </c>
      <c r="BF3" s="69" t="s">
        <v>105</v>
      </c>
      <c r="BG3" s="69" t="s">
        <v>0</v>
      </c>
      <c r="BH3" s="69" t="s">
        <v>1</v>
      </c>
      <c r="BI3" s="69" t="s">
        <v>2</v>
      </c>
      <c r="BJ3" s="69" t="s">
        <v>3</v>
      </c>
      <c r="BK3" s="69" t="s">
        <v>4</v>
      </c>
      <c r="BL3" s="69" t="s">
        <v>5</v>
      </c>
      <c r="BM3" s="69" t="s">
        <v>6</v>
      </c>
      <c r="BN3" s="69" t="s">
        <v>7</v>
      </c>
      <c r="BO3" s="69" t="s">
        <v>8</v>
      </c>
      <c r="BP3" s="69" t="s">
        <v>26</v>
      </c>
      <c r="BQ3" s="69" t="s">
        <v>27</v>
      </c>
      <c r="BR3" s="69" t="s">
        <v>28</v>
      </c>
      <c r="BS3" s="102" t="s">
        <v>29</v>
      </c>
      <c r="BT3" s="104" t="s">
        <v>66</v>
      </c>
      <c r="BU3" s="70" t="s">
        <v>67</v>
      </c>
      <c r="BV3" s="70" t="s">
        <v>68</v>
      </c>
      <c r="BW3" s="70" t="s">
        <v>69</v>
      </c>
      <c r="BX3" s="70" t="s">
        <v>70</v>
      </c>
      <c r="BY3" s="70" t="s">
        <v>71</v>
      </c>
      <c r="BZ3" s="70" t="s">
        <v>72</v>
      </c>
      <c r="CA3" s="70" t="s">
        <v>73</v>
      </c>
      <c r="CB3" s="70" t="s">
        <v>74</v>
      </c>
      <c r="CC3" s="70" t="s">
        <v>75</v>
      </c>
      <c r="CD3" s="70" t="s">
        <v>76</v>
      </c>
      <c r="CE3" s="70" t="s">
        <v>77</v>
      </c>
      <c r="CF3" s="70" t="s">
        <v>78</v>
      </c>
      <c r="CG3" s="70" t="s">
        <v>79</v>
      </c>
      <c r="CH3" s="70" t="s">
        <v>80</v>
      </c>
      <c r="CI3" s="70" t="s">
        <v>81</v>
      </c>
      <c r="CJ3" s="70" t="s">
        <v>82</v>
      </c>
      <c r="CK3" s="105" t="s">
        <v>83</v>
      </c>
      <c r="DI3" s="19"/>
      <c r="DJ3" s="19"/>
      <c r="DK3" s="19"/>
      <c r="DL3" s="19"/>
      <c r="DM3" s="19"/>
      <c r="DN3" s="19"/>
      <c r="DO3" s="19"/>
      <c r="DP3" s="19"/>
      <c r="DQ3" s="19"/>
      <c r="DR3" s="19"/>
      <c r="DS3" s="19"/>
      <c r="DT3" s="19"/>
      <c r="DU3" s="19"/>
      <c r="DV3" s="19"/>
      <c r="DW3" s="19"/>
      <c r="DX3" s="19"/>
      <c r="DY3" s="19"/>
      <c r="DZ3" s="19"/>
      <c r="EA3" s="19"/>
      <c r="EB3" s="19"/>
      <c r="EC3" s="19"/>
      <c r="ED3" s="19"/>
      <c r="EE3" s="19"/>
      <c r="EF3" s="19"/>
      <c r="EG3" s="19"/>
      <c r="EH3" s="19"/>
      <c r="EI3" s="19"/>
      <c r="EJ3" s="19"/>
      <c r="EK3" s="19"/>
      <c r="EL3" s="19"/>
      <c r="EM3" s="19"/>
      <c r="EN3" s="19"/>
      <c r="EO3" s="19"/>
      <c r="EP3" s="19"/>
      <c r="EQ3" s="19"/>
      <c r="ER3" s="19"/>
      <c r="ES3" s="19"/>
      <c r="ET3" s="19"/>
      <c r="EU3" s="19"/>
      <c r="EV3" s="19"/>
      <c r="EW3" s="19"/>
      <c r="EX3" s="19"/>
      <c r="EY3" s="19"/>
      <c r="EZ3" s="19"/>
      <c r="FA3" s="19"/>
      <c r="FB3" s="19"/>
      <c r="FC3" s="19"/>
      <c r="FD3" s="19"/>
      <c r="FE3" s="19"/>
      <c r="FF3" s="19"/>
      <c r="FG3" s="19"/>
      <c r="FH3" s="19"/>
      <c r="FI3" s="19"/>
      <c r="FJ3" s="19"/>
      <c r="FK3" s="19"/>
      <c r="FL3" s="19"/>
      <c r="FM3" s="19"/>
      <c r="FN3" s="19"/>
      <c r="FO3" s="19"/>
      <c r="FP3" s="19"/>
      <c r="FQ3" s="19"/>
      <c r="FR3" s="19"/>
      <c r="FS3" s="19"/>
      <c r="FT3" s="19"/>
      <c r="FU3" s="19"/>
      <c r="FV3" s="19"/>
      <c r="FW3" s="19"/>
      <c r="FX3" s="19"/>
      <c r="FY3" s="19"/>
      <c r="FZ3" s="19"/>
      <c r="GA3" s="19"/>
      <c r="GB3" s="19"/>
      <c r="GC3" s="19"/>
      <c r="GD3" s="19"/>
      <c r="GE3" s="19"/>
      <c r="GF3" s="19"/>
      <c r="GG3" s="19"/>
      <c r="GH3" s="19"/>
      <c r="GI3" s="19"/>
      <c r="GJ3" s="19"/>
      <c r="GK3" s="19"/>
      <c r="GL3" s="19"/>
      <c r="GM3" s="19"/>
      <c r="GN3" s="19"/>
      <c r="GO3" s="19"/>
      <c r="GP3" s="19"/>
      <c r="GQ3" s="19"/>
      <c r="GR3" s="19"/>
      <c r="GS3" s="19"/>
      <c r="GT3" s="19"/>
      <c r="GU3" s="19"/>
      <c r="GV3" s="19"/>
      <c r="GW3" s="19"/>
      <c r="GX3" s="19"/>
      <c r="GY3" s="19"/>
      <c r="GZ3" s="19"/>
      <c r="HA3" s="19"/>
      <c r="HB3" s="19"/>
      <c r="HC3" s="19"/>
      <c r="HD3" s="19"/>
      <c r="HE3" s="19"/>
      <c r="HF3" s="19"/>
      <c r="HG3" s="19"/>
      <c r="HH3" s="19"/>
      <c r="HI3" s="19"/>
      <c r="HJ3" s="19"/>
      <c r="HK3" s="19"/>
      <c r="HL3" s="19"/>
      <c r="HM3" s="19"/>
      <c r="HN3" s="19"/>
      <c r="HO3" s="19"/>
      <c r="HP3" s="19"/>
    </row>
    <row r="4" spans="1:224" s="212" customFormat="1" ht="14.25" thickBot="1" x14ac:dyDescent="0.3">
      <c r="A4" s="182">
        <v>0</v>
      </c>
      <c r="B4" s="183">
        <v>1</v>
      </c>
      <c r="C4" s="184" t="s">
        <v>56</v>
      </c>
      <c r="D4" s="185"/>
      <c r="E4" s="186">
        <f>IF(ISERR(AVERAGE(E5:E8)),"",AVERAGE(E5:E8))</f>
        <v>1.7838181845551067</v>
      </c>
      <c r="F4" s="187" t="str">
        <f>IF($D4="","",E4-VLOOKUP($D4,$B$4:$BS$990,4,FALSE))</f>
        <v/>
      </c>
      <c r="G4" s="188">
        <f t="shared" ref="G4:Q4" si="0">IF(ISERR(AVERAGE(G5:G8)),"",AVERAGE(G5:G8))</f>
        <v>4.2485813744150587</v>
      </c>
      <c r="H4" s="189">
        <f t="shared" si="0"/>
        <v>3.4871438222363715</v>
      </c>
      <c r="I4" s="189">
        <f t="shared" si="0"/>
        <v>0.76143755217868747</v>
      </c>
      <c r="J4" s="188">
        <f>IF(ISERR(AVERAGE(J5:J8)),"",AVERAGE(J5:J8))</f>
        <v>-5.4165033065606029E-2</v>
      </c>
      <c r="K4" s="190" t="str">
        <f>IF($D4="","",G4-VLOOKUP($D4,$B$4:$BS$990,6,FALSE))</f>
        <v/>
      </c>
      <c r="L4" s="190" t="str">
        <f>IF($D4="","",H4-VLOOKUP($D4,$B$4:$BS$990,7,FALSE))</f>
        <v/>
      </c>
      <c r="M4" s="190" t="str">
        <f>IF($D4="","",I4-VLOOKUP($D4,$B$4:$BS$990,8,FALSE))</f>
        <v/>
      </c>
      <c r="N4" s="191" t="str">
        <f>IF($D4="","",J4-VLOOKUP($D4,$B$4:$BS$990,9,FALSE))</f>
        <v/>
      </c>
      <c r="O4" s="186">
        <f t="shared" si="0"/>
        <v>1.362853135028842</v>
      </c>
      <c r="P4" s="189">
        <f t="shared" si="0"/>
        <v>-0.37828855439290865</v>
      </c>
      <c r="Q4" s="189">
        <f t="shared" si="0"/>
        <v>-1.1357855984001972E-2</v>
      </c>
      <c r="R4" s="190" t="str">
        <f>IF($D4="","",O4-VLOOKUP($D4,$B$4:$BS$990,14,FALSE))</f>
        <v/>
      </c>
      <c r="S4" s="190" t="str">
        <f>IF($D4="","",P4-VLOOKUP($D4,$B$4:$BS$990,15,FALSE))</f>
        <v/>
      </c>
      <c r="T4" s="187" t="str">
        <f>IF($D4="","",Q4-VLOOKUP($D4,$B$4:$BS$990,16,FALSE))</f>
        <v/>
      </c>
      <c r="U4" s="188">
        <f t="shared" ref="U4:BS4" si="1">IF(ISERR(AVERAGE(U5:U8)),"",AVERAGE(U5:U8))</f>
        <v>0.24515199686204633</v>
      </c>
      <c r="V4" s="192">
        <f t="shared" si="1"/>
        <v>4.7123661619037784E-2</v>
      </c>
      <c r="W4" s="193">
        <f t="shared" si="1"/>
        <v>0.71296983063936903</v>
      </c>
      <c r="X4" s="194">
        <f t="shared" si="1"/>
        <v>10.694547459590536</v>
      </c>
      <c r="Y4" s="195" t="str">
        <f>IF($D4="","",W4-VLOOKUP($D4,$B$4:$BS$990,22,FALSE))</f>
        <v/>
      </c>
      <c r="Z4" s="196" t="str">
        <f>IF($D4="","",X4-VLOOKUP($D4,$B$4:$BS$990,23,FALSE))</f>
        <v/>
      </c>
      <c r="AA4" s="193">
        <f t="shared" si="1"/>
        <v>25.471573021297782</v>
      </c>
      <c r="AB4" s="197">
        <f t="shared" si="1"/>
        <v>20.906516946751491</v>
      </c>
      <c r="AC4" s="197">
        <f t="shared" si="1"/>
        <v>4.5650560745462867</v>
      </c>
      <c r="AD4" s="194">
        <f>IF(ISERR(AVERAGE(AD5:AD8)),"",AVERAGE(AD5:AD8))</f>
        <v>-0.32473629980114116</v>
      </c>
      <c r="AE4" s="195" t="str">
        <f>IF($D4="","",AA4-VLOOKUP($D4,$B$4:$BS$990,26,FALSE))</f>
        <v/>
      </c>
      <c r="AF4" s="195" t="str">
        <f>IF($D4="","",AB4-VLOOKUP($D4,$B$4:$BS$990,27,FALSE))</f>
        <v/>
      </c>
      <c r="AG4" s="198" t="str">
        <f>IF($D4="","",AC4-VLOOKUP($D4,$B$4:$BS$990,28,FALSE))</f>
        <v/>
      </c>
      <c r="AH4" s="196" t="str">
        <f>IF($D4="","",AD4-VLOOKUP($D4,$B$4:$BS$990,29,FALSE))</f>
        <v/>
      </c>
      <c r="AI4" s="199">
        <f t="shared" si="1"/>
        <v>2.2561565700665427</v>
      </c>
      <c r="AJ4" s="200">
        <f t="shared" si="1"/>
        <v>1.0141274510449758</v>
      </c>
      <c r="AK4" s="201">
        <f>IF((ISERROR((Coeff!AB4+TestInfoPage!$B$6)/(Coeff!AA4+TestInfoPage!$B$5))),"",((Coeff!AB4+TestInfoPage!$B$6)/(Coeff!AA4+TestInfoPage!$B$5)))</f>
        <v>0.8207783998762358</v>
      </c>
      <c r="AL4" s="202" t="str">
        <f>IF($D4="","",AI4-VLOOKUP($D4,$B$4:$BS$990,34,FALSE))</f>
        <v/>
      </c>
      <c r="AM4" s="203" t="str">
        <f>IF($D4="","",AJ4-VLOOKUP($D4,$B$4:$BS$990,35,FALSE))</f>
        <v/>
      </c>
      <c r="AN4" s="204" t="str">
        <f>IF($D4="","",AK4-VLOOKUP($D4,$B$4:$BS$990,36,FALSE))</f>
        <v/>
      </c>
      <c r="AO4" s="205">
        <f t="shared" ref="AO4:AO35" si="2">IF(ISERR(AVERAGE(AP4:AS4)),"",AVERAGE(AP4:AS4))</f>
        <v>0.67374686588300181</v>
      </c>
      <c r="AP4" s="206">
        <f t="shared" si="1"/>
        <v>0.82571420954574337</v>
      </c>
      <c r="AQ4" s="207">
        <f t="shared" si="1"/>
        <v>0.58084433057293683</v>
      </c>
      <c r="AR4" s="208">
        <f t="shared" si="1"/>
        <v>0.56840697995357103</v>
      </c>
      <c r="AS4" s="208">
        <f t="shared" si="1"/>
        <v>0.72002194345975623</v>
      </c>
      <c r="AT4" s="190" t="e">
        <f>IF(ISERR(AP4-VLOOKUP($D4,$B$4:$BS$990,41,FALSE)),"",(AP4-VLOOKUP($D4,$B$4:$BS$990,41,FALSE)))</f>
        <v>#N/A</v>
      </c>
      <c r="AU4" s="190" t="e">
        <f>IF(ISERR(AQ4-VLOOKUP($D4,$B$4:$BS$990,42,FALSE)),"",(AQ4-VLOOKUP($D4,$B$4:$BS$990,42,FALSE)))</f>
        <v>#N/A</v>
      </c>
      <c r="AV4" s="191" t="e">
        <f>IF(ISERR(AR4-VLOOKUP($D4,$B$4:$BS$990,43,FALSE)),"",AR4-VLOOKUP($D4,$B$4:$BS$990,43,FALSE))</f>
        <v>#N/A</v>
      </c>
      <c r="AW4" s="191" t="e">
        <f>IF(ISERR(AS4-VLOOKUP($D4,$B$4:$BS$990,44,FALSE)),"",AS4-VLOOKUP($D4,$B$4:$BS$990,44,FALSE))</f>
        <v>#N/A</v>
      </c>
      <c r="AX4" s="209">
        <f t="shared" si="1"/>
        <v>0.84021372086962065</v>
      </c>
      <c r="AY4" s="208">
        <f t="shared" si="1"/>
        <v>0.70961205404778693</v>
      </c>
      <c r="AZ4" s="196" t="e">
        <f>IF(ISERR(AX4-VLOOKUP($D4,$B$4:$BS$990,49,FALSE)),"",(AX4-VLOOKUP($D4,$B$4:$BS$990,49,FALSE)))</f>
        <v>#N/A</v>
      </c>
      <c r="BA4" s="196" t="e">
        <f>IF(ISERR(AY4-VLOOKUP($D4,$B$4:$BS$990,50,FALSE)),"",(AY4-VLOOKUP($D4,$B$4:$BS$990,50,FALSE)))</f>
        <v>#N/A</v>
      </c>
      <c r="BB4" s="209">
        <f t="shared" si="1"/>
        <v>-0.12289044531349276</v>
      </c>
      <c r="BC4" s="207">
        <f t="shared" si="1"/>
        <v>0.26129681600284044</v>
      </c>
      <c r="BD4" s="207">
        <f t="shared" si="1"/>
        <v>-0.46014442841507713</v>
      </c>
      <c r="BE4" s="207">
        <f t="shared" si="1"/>
        <v>0.26036145882677825</v>
      </c>
      <c r="BF4" s="207">
        <f t="shared" si="1"/>
        <v>3.0758731416070439E-2</v>
      </c>
      <c r="BG4" s="207">
        <f t="shared" si="1"/>
        <v>-3.0462373868912671</v>
      </c>
      <c r="BH4" s="207">
        <f t="shared" si="1"/>
        <v>-2.7528072804918153</v>
      </c>
      <c r="BI4" s="207">
        <f t="shared" si="1"/>
        <v>-2.2975784652512785</v>
      </c>
      <c r="BJ4" s="207">
        <f t="shared" si="1"/>
        <v>-2.2288625992388398</v>
      </c>
      <c r="BK4" s="207">
        <f t="shared" si="1"/>
        <v>-3.5771535834505364</v>
      </c>
      <c r="BL4" s="207">
        <f t="shared" si="1"/>
        <v>-4.6484970912296841</v>
      </c>
      <c r="BM4" s="207">
        <f t="shared" si="1"/>
        <v>-5.8690584398922638</v>
      </c>
      <c r="BN4" s="207">
        <f t="shared" si="1"/>
        <v>-4.9552148386368273</v>
      </c>
      <c r="BO4" s="207">
        <f t="shared" si="1"/>
        <v>-1.8132511457784435</v>
      </c>
      <c r="BP4" s="207">
        <f t="shared" si="1"/>
        <v>-1.3904544925204789</v>
      </c>
      <c r="BQ4" s="207">
        <f t="shared" si="1"/>
        <v>-1.3136897515517181</v>
      </c>
      <c r="BR4" s="207">
        <f t="shared" si="1"/>
        <v>-1.1599573699368981</v>
      </c>
      <c r="BS4" s="210">
        <f t="shared" si="1"/>
        <v>-5.5023159069942302</v>
      </c>
      <c r="BT4" s="211" t="str">
        <f>IF($D4="","",BB4-VLOOKUP($D4,$B$4:$BS$990,53,FALSE))</f>
        <v/>
      </c>
      <c r="BU4" s="190" t="str">
        <f>IF($D4="","",BC4-VLOOKUP($D4,$B$4:$BS$990,54,FALSE))</f>
        <v/>
      </c>
      <c r="BV4" s="190" t="str">
        <f>IF($D4="","",BD4-VLOOKUP($D4,$B$4:$BS$990,55,FALSE))</f>
        <v/>
      </c>
      <c r="BW4" s="190" t="str">
        <f>IF($D4="","",BE4-VLOOKUP($D4,$B$4:$BS$990,56,FALSE))</f>
        <v/>
      </c>
      <c r="BX4" s="190" t="str">
        <f>IF($D4="","",BF4-VLOOKUP($D4,$B$4:$BS$990,57,FALSE))</f>
        <v/>
      </c>
      <c r="BY4" s="190" t="str">
        <f>IF($D4="","",BG4-VLOOKUP($D4,$B$4:$BS$990,58,FALSE))</f>
        <v/>
      </c>
      <c r="BZ4" s="190" t="str">
        <f>IF($D4="","",BH4-VLOOKUP($D4,$B$4:$BS$990,59,FALSE))</f>
        <v/>
      </c>
      <c r="CA4" s="190" t="str">
        <f>IF($D4="","",BI4-VLOOKUP($D4,$B$4:$BS$990,60,FALSE))</f>
        <v/>
      </c>
      <c r="CB4" s="190" t="str">
        <f>IF($D4="","",BJ4-VLOOKUP($D4,$B$4:$BS$990,61,FALSE))</f>
        <v/>
      </c>
      <c r="CC4" s="190" t="str">
        <f>IF($D4="","",BK4-VLOOKUP($D4,$B$4:$BS$990,62,FALSE))</f>
        <v/>
      </c>
      <c r="CD4" s="190" t="str">
        <f>IF($D4="","",BL4-VLOOKUP($D4,$B$4:$BS$990,63,FALSE))</f>
        <v/>
      </c>
      <c r="CE4" s="190" t="str">
        <f>IF($D4="","",BM4-VLOOKUP($D4,$B$4:$BS$990,64,FALSE))</f>
        <v/>
      </c>
      <c r="CF4" s="190" t="str">
        <f>IF($D4="","",BN4-VLOOKUP($D4,$B$4:$BS$990,65,FALSE))</f>
        <v/>
      </c>
      <c r="CG4" s="190" t="str">
        <f>IF($D4="","",BO4-VLOOKUP($D4,$B$4:$BS$990,66,FALSE))</f>
        <v/>
      </c>
      <c r="CH4" s="190" t="str">
        <f>IF($D4="","",BP4-VLOOKUP($D4,$B$4:$BS$990,67,FALSE))</f>
        <v/>
      </c>
      <c r="CI4" s="190" t="str">
        <f>IF($D4="","",BQ4-VLOOKUP($D4,$B$4:$BS$990,68,FALSE))</f>
        <v/>
      </c>
      <c r="CJ4" s="190" t="str">
        <f>IF($D4="","",BR4-VLOOKUP($D4,$B$4:$BS$990,69,FALSE))</f>
        <v/>
      </c>
      <c r="CK4" s="187" t="str">
        <f>IF($D4="","",BS4-VLOOKUP($D4,$B$4:$BS$990,70,FALSE))</f>
        <v/>
      </c>
      <c r="CM4" s="213"/>
      <c r="CN4" s="213"/>
      <c r="CO4" s="213"/>
      <c r="CP4" s="213"/>
      <c r="CQ4" s="213"/>
      <c r="CR4" s="213"/>
      <c r="CS4" s="213"/>
      <c r="CT4" s="213"/>
      <c r="CU4" s="213"/>
      <c r="CV4" s="213"/>
      <c r="CW4" s="213"/>
      <c r="CX4" s="213"/>
      <c r="CY4" s="213"/>
      <c r="CZ4" s="213"/>
      <c r="DA4" s="213"/>
      <c r="DB4" s="213"/>
      <c r="DC4" s="213"/>
      <c r="DD4" s="213"/>
      <c r="DE4" s="213"/>
      <c r="DF4" s="213"/>
      <c r="DG4" s="213"/>
      <c r="DH4" s="213"/>
      <c r="DI4" s="214"/>
      <c r="DJ4" s="214"/>
      <c r="DK4" s="214"/>
      <c r="DL4" s="214"/>
      <c r="DM4" s="214"/>
      <c r="DN4" s="214"/>
      <c r="DO4" s="214"/>
      <c r="DP4" s="214"/>
      <c r="DQ4" s="214"/>
      <c r="DR4" s="214"/>
      <c r="DS4" s="214"/>
      <c r="DT4" s="214"/>
      <c r="DU4" s="214"/>
      <c r="DV4" s="214"/>
      <c r="DW4" s="214"/>
      <c r="DX4" s="214"/>
      <c r="DY4" s="214"/>
      <c r="DZ4" s="214"/>
      <c r="EA4" s="214"/>
      <c r="EB4" s="214"/>
      <c r="EC4" s="214"/>
      <c r="ED4" s="214"/>
      <c r="EE4" s="214"/>
      <c r="EF4" s="214"/>
      <c r="EG4" s="214"/>
      <c r="EH4" s="214"/>
      <c r="EI4" s="214"/>
      <c r="EJ4" s="214"/>
      <c r="EK4" s="214"/>
      <c r="EL4" s="214"/>
      <c r="EM4" s="214"/>
      <c r="EN4" s="214"/>
      <c r="EO4" s="214"/>
      <c r="EP4" s="214"/>
      <c r="EQ4" s="214"/>
      <c r="ER4" s="214"/>
      <c r="ES4" s="214"/>
      <c r="ET4" s="214"/>
      <c r="EU4" s="214"/>
      <c r="EV4" s="214"/>
      <c r="EW4" s="214"/>
      <c r="EX4" s="214"/>
      <c r="EY4" s="214"/>
      <c r="EZ4" s="214"/>
      <c r="FA4" s="214"/>
      <c r="FB4" s="214"/>
      <c r="FC4" s="214"/>
      <c r="FD4" s="214"/>
      <c r="FE4" s="214"/>
      <c r="FF4" s="214"/>
      <c r="FG4" s="214"/>
      <c r="FH4" s="214"/>
      <c r="FI4" s="214"/>
      <c r="FJ4" s="214"/>
      <c r="FK4" s="214"/>
      <c r="FL4" s="214"/>
      <c r="FM4" s="214"/>
      <c r="FN4" s="214"/>
      <c r="FO4" s="214"/>
      <c r="FP4" s="214"/>
      <c r="FQ4" s="214"/>
      <c r="FR4" s="214"/>
      <c r="FS4" s="214"/>
      <c r="FT4" s="214"/>
      <c r="FU4" s="214"/>
      <c r="FV4" s="214"/>
      <c r="FW4" s="214"/>
      <c r="FX4" s="214"/>
      <c r="FY4" s="214"/>
      <c r="FZ4" s="214"/>
      <c r="GA4" s="214"/>
      <c r="GB4" s="214"/>
      <c r="GC4" s="214"/>
      <c r="GD4" s="214"/>
      <c r="GE4" s="214"/>
      <c r="GF4" s="214"/>
      <c r="GG4" s="214"/>
      <c r="GH4" s="214"/>
      <c r="GI4" s="214"/>
      <c r="GJ4" s="214"/>
      <c r="GK4" s="214"/>
      <c r="GL4" s="214"/>
      <c r="GM4" s="214"/>
      <c r="GN4" s="214"/>
      <c r="GO4" s="214"/>
      <c r="GP4" s="214"/>
      <c r="GQ4" s="214"/>
      <c r="GR4" s="214"/>
      <c r="GS4" s="214"/>
      <c r="GT4" s="214"/>
      <c r="GU4" s="214"/>
      <c r="GV4" s="214"/>
      <c r="GW4" s="214"/>
      <c r="GX4" s="214"/>
      <c r="GY4" s="214"/>
      <c r="GZ4" s="214"/>
      <c r="HA4" s="214"/>
      <c r="HB4" s="214"/>
      <c r="HC4" s="214"/>
      <c r="HD4" s="214"/>
      <c r="HE4" s="214"/>
      <c r="HF4" s="214"/>
      <c r="HG4" s="214"/>
      <c r="HH4" s="214"/>
      <c r="HI4" s="214"/>
      <c r="HJ4" s="214"/>
      <c r="HK4" s="214"/>
      <c r="HL4" s="214"/>
      <c r="HM4" s="214"/>
      <c r="HN4" s="214"/>
      <c r="HO4" s="214"/>
      <c r="HP4" s="214"/>
    </row>
    <row r="5" spans="1:224" s="212" customFormat="1" x14ac:dyDescent="0.25">
      <c r="A5" s="182">
        <v>0</v>
      </c>
      <c r="B5" s="215"/>
      <c r="C5" s="215">
        <v>1</v>
      </c>
      <c r="D5" s="216"/>
      <c r="E5" s="217">
        <v>0.10568691234459614</v>
      </c>
      <c r="F5" s="218"/>
      <c r="G5" s="219">
        <v>0.23273267528981709</v>
      </c>
      <c r="H5" s="219">
        <v>0.34150714042264924</v>
      </c>
      <c r="I5" s="219">
        <v>-0.10877446513283213</v>
      </c>
      <c r="J5" s="220">
        <v>-1.5945239767295818E-3</v>
      </c>
      <c r="K5" s="219"/>
      <c r="L5" s="219"/>
      <c r="M5" s="219"/>
      <c r="N5" s="219"/>
      <c r="O5" s="217">
        <v>0.22514080277774068</v>
      </c>
      <c r="P5" s="219">
        <v>-1.0532255647248056E-2</v>
      </c>
      <c r="Q5" s="219">
        <v>3.0986878206379877E-2</v>
      </c>
      <c r="R5" s="219"/>
      <c r="S5" s="219"/>
      <c r="T5" s="218"/>
      <c r="U5" s="221">
        <v>0.45484069360364948</v>
      </c>
      <c r="V5" s="221">
        <v>8.7430488881590399E-2</v>
      </c>
      <c r="W5" s="222">
        <f>IF(ISERR(X5*$AC$1/375),"",(X5*$AC$1/375))</f>
        <v>4.2241737777730763E-2</v>
      </c>
      <c r="X5" s="223">
        <f>IF(ISERR(((($AC$1)^2)*0.002558)*E5*$F$1),"",(((($AC$1)^2)*0.002558)*E5*$F$1))</f>
        <v>0.63362606666596144</v>
      </c>
      <c r="Y5" s="223"/>
      <c r="Z5" s="224"/>
      <c r="AA5" s="222">
        <f t="shared" ref="AA5:AD8" si="3">IF(ISERR(((($AC$1)^2)*0.002558)*G5*$F$1),"",(((($AC$1)^2)*0.002558)*G5*$F$1))</f>
        <v>1.3953051173234816</v>
      </c>
      <c r="AB5" s="223">
        <f t="shared" si="3"/>
        <v>2.0474420278151642</v>
      </c>
      <c r="AC5" s="223">
        <f t="shared" si="3"/>
        <v>-0.65213691049168265</v>
      </c>
      <c r="AD5" s="223">
        <f t="shared" si="3"/>
        <v>-9.559669529236571E-3</v>
      </c>
      <c r="AE5" s="225"/>
      <c r="AF5" s="225"/>
      <c r="AG5" s="225"/>
      <c r="AH5" s="226"/>
      <c r="AI5" s="227">
        <f>IF(ISERR(AA5/X5),"",(AA5/X5))</f>
        <v>2.2020955114194605</v>
      </c>
      <c r="AJ5" s="228">
        <f>IF(ISERR(AB5/AA5),"",(AB5/AA5))</f>
        <v>1.4673794300580163</v>
      </c>
      <c r="AK5" s="228">
        <f>IF((ISERROR((Coeff!AB5+TestInfoPage!$B$6)/(Coeff!AA5+TestInfoPage!$B$5))),"",((Coeff!AB5+TestInfoPage!$B$6)/(Coeff!AA5+TestInfoPage!$B$5)))</f>
        <v>1.4673794300580163</v>
      </c>
      <c r="AL5" s="227"/>
      <c r="AM5" s="228"/>
      <c r="AN5" s="229"/>
      <c r="AO5" s="217">
        <f t="shared" si="2"/>
        <v>0.65612005733190892</v>
      </c>
      <c r="AP5" s="230">
        <v>0.69896739675687325</v>
      </c>
      <c r="AQ5" s="230">
        <v>0.62948528747387</v>
      </c>
      <c r="AR5" s="230">
        <v>0.62568177895618349</v>
      </c>
      <c r="AS5" s="230">
        <v>0.67034576614070907</v>
      </c>
      <c r="AT5" s="231"/>
      <c r="AU5" s="231"/>
      <c r="AV5" s="231"/>
      <c r="AW5" s="232"/>
      <c r="AX5" s="233">
        <v>0.71297026750452075</v>
      </c>
      <c r="AY5" s="230">
        <v>0.66395199159910567</v>
      </c>
      <c r="AZ5" s="223"/>
      <c r="BA5" s="224"/>
      <c r="BB5" s="234">
        <v>1.2459998536806054</v>
      </c>
      <c r="BC5" s="231">
        <v>1.3092713727311986</v>
      </c>
      <c r="BD5" s="231">
        <v>1.1803942736975068</v>
      </c>
      <c r="BE5" s="231">
        <v>1.3525977005174967</v>
      </c>
      <c r="BF5" s="231">
        <v>1.2495055678984539</v>
      </c>
      <c r="BG5" s="231">
        <v>0.75949640128226992</v>
      </c>
      <c r="BH5" s="231">
        <v>0.86192555460180509</v>
      </c>
      <c r="BI5" s="231">
        <v>0.99432266399834346</v>
      </c>
      <c r="BJ5" s="231">
        <v>0.99983450825506337</v>
      </c>
      <c r="BK5" s="231">
        <v>0.55565233471395015</v>
      </c>
      <c r="BL5" s="231">
        <v>0.18985646188720359</v>
      </c>
      <c r="BM5" s="231">
        <v>-3.7073204712366387E-2</v>
      </c>
      <c r="BN5" s="231">
        <v>0.18939382000563018</v>
      </c>
      <c r="BO5" s="231">
        <v>0.97781979542984654</v>
      </c>
      <c r="BP5" s="231">
        <v>1.1152587327083627</v>
      </c>
      <c r="BQ5" s="231">
        <v>1.1735628000378027</v>
      </c>
      <c r="BR5" s="231">
        <v>1.1678827310745323</v>
      </c>
      <c r="BS5" s="232">
        <v>2.5468199786932924</v>
      </c>
      <c r="BT5" s="235"/>
      <c r="BU5" s="236"/>
      <c r="BV5" s="236"/>
      <c r="BW5" s="236"/>
      <c r="BX5" s="236"/>
      <c r="BY5" s="236"/>
      <c r="BZ5" s="236"/>
      <c r="CA5" s="236"/>
      <c r="CB5" s="236"/>
      <c r="CC5" s="236"/>
      <c r="CD5" s="236"/>
      <c r="CE5" s="236"/>
      <c r="CF5" s="236"/>
      <c r="CG5" s="236"/>
      <c r="CH5" s="236"/>
      <c r="CI5" s="236"/>
      <c r="CJ5" s="236"/>
      <c r="CK5" s="237"/>
      <c r="CM5" s="213"/>
      <c r="CN5" s="213"/>
      <c r="CO5" s="213"/>
      <c r="CP5" s="213"/>
      <c r="CQ5" s="213"/>
      <c r="CR5" s="213"/>
      <c r="CS5" s="213"/>
      <c r="CT5" s="213"/>
      <c r="CU5" s="213"/>
      <c r="CV5" s="213"/>
      <c r="CW5" s="213"/>
      <c r="CX5" s="213"/>
      <c r="CY5" s="213"/>
      <c r="CZ5" s="213"/>
      <c r="DA5" s="213"/>
      <c r="DB5" s="213"/>
      <c r="DC5" s="213"/>
      <c r="DD5" s="213"/>
      <c r="DE5" s="213"/>
      <c r="DF5" s="213"/>
      <c r="DG5" s="213"/>
      <c r="DH5" s="213"/>
      <c r="DI5" s="214"/>
      <c r="DJ5" s="214"/>
      <c r="DK5" s="214"/>
      <c r="DL5" s="214"/>
      <c r="DM5" s="214"/>
      <c r="DN5" s="214"/>
      <c r="DO5" s="214"/>
      <c r="DP5" s="214"/>
      <c r="DQ5" s="214"/>
      <c r="DR5" s="214"/>
      <c r="DS5" s="214"/>
      <c r="DT5" s="214"/>
      <c r="DU5" s="214"/>
      <c r="DV5" s="214"/>
      <c r="DW5" s="214"/>
      <c r="DX5" s="214"/>
      <c r="DY5" s="214"/>
      <c r="DZ5" s="214"/>
      <c r="EA5" s="214"/>
      <c r="EB5" s="214"/>
      <c r="EC5" s="214"/>
      <c r="ED5" s="214"/>
      <c r="EE5" s="214"/>
      <c r="EF5" s="214"/>
      <c r="EG5" s="214"/>
      <c r="EH5" s="214"/>
      <c r="EI5" s="214"/>
      <c r="EJ5" s="214"/>
      <c r="EK5" s="214"/>
      <c r="EL5" s="214"/>
      <c r="EM5" s="214"/>
      <c r="EN5" s="214"/>
      <c r="EO5" s="214"/>
      <c r="EP5" s="214"/>
      <c r="EQ5" s="214"/>
      <c r="ER5" s="214"/>
      <c r="ES5" s="214"/>
      <c r="ET5" s="214"/>
      <c r="EU5" s="214"/>
      <c r="EV5" s="214"/>
      <c r="EW5" s="214"/>
      <c r="EX5" s="214"/>
      <c r="EY5" s="214"/>
      <c r="EZ5" s="214"/>
      <c r="FA5" s="214"/>
      <c r="FB5" s="214"/>
      <c r="FC5" s="214"/>
      <c r="FD5" s="214"/>
      <c r="FE5" s="214"/>
      <c r="FF5" s="214"/>
      <c r="FG5" s="214"/>
      <c r="FH5" s="214"/>
      <c r="FI5" s="214"/>
      <c r="FJ5" s="214"/>
      <c r="FK5" s="214"/>
      <c r="FL5" s="214"/>
      <c r="FM5" s="214"/>
      <c r="FN5" s="214"/>
      <c r="FO5" s="214"/>
      <c r="FP5" s="214"/>
      <c r="FQ5" s="214"/>
      <c r="FR5" s="214"/>
      <c r="FS5" s="214"/>
      <c r="FT5" s="214"/>
      <c r="FU5" s="214"/>
      <c r="FV5" s="214"/>
      <c r="FW5" s="214"/>
      <c r="FX5" s="214"/>
      <c r="FY5" s="214"/>
      <c r="FZ5" s="214"/>
      <c r="GA5" s="214"/>
      <c r="GB5" s="214"/>
      <c r="GC5" s="214"/>
      <c r="GD5" s="214"/>
      <c r="GE5" s="214"/>
      <c r="GF5" s="214"/>
      <c r="GG5" s="214"/>
      <c r="GH5" s="214"/>
      <c r="GI5" s="214"/>
      <c r="GJ5" s="214"/>
      <c r="GK5" s="214"/>
      <c r="GL5" s="214"/>
      <c r="GM5" s="214"/>
      <c r="GN5" s="214"/>
      <c r="GO5" s="214"/>
      <c r="GP5" s="214"/>
      <c r="GQ5" s="214"/>
      <c r="GR5" s="214"/>
      <c r="GS5" s="214"/>
      <c r="GT5" s="214"/>
      <c r="GU5" s="214"/>
      <c r="GV5" s="214"/>
      <c r="GW5" s="214"/>
      <c r="GX5" s="214"/>
      <c r="GY5" s="214"/>
      <c r="GZ5" s="214"/>
      <c r="HA5" s="214"/>
      <c r="HB5" s="214"/>
      <c r="HC5" s="214"/>
      <c r="HD5" s="214"/>
      <c r="HE5" s="214"/>
      <c r="HF5" s="214"/>
      <c r="HG5" s="214"/>
      <c r="HH5" s="214"/>
      <c r="HI5" s="214"/>
      <c r="HJ5" s="214"/>
      <c r="HK5" s="214"/>
      <c r="HL5" s="214"/>
      <c r="HM5" s="214"/>
      <c r="HN5" s="214"/>
      <c r="HO5" s="214"/>
      <c r="HP5" s="214"/>
    </row>
    <row r="6" spans="1:224" s="212" customFormat="1" x14ac:dyDescent="0.25">
      <c r="A6" s="182">
        <v>0</v>
      </c>
      <c r="B6" s="215"/>
      <c r="C6" s="215">
        <v>2</v>
      </c>
      <c r="D6" s="216"/>
      <c r="E6" s="233">
        <v>0.60297724115576223</v>
      </c>
      <c r="F6" s="218"/>
      <c r="G6" s="230">
        <v>1.2967157884787701</v>
      </c>
      <c r="H6" s="230">
        <v>0.9864051269776255</v>
      </c>
      <c r="I6" s="230">
        <v>0.31031066150114467</v>
      </c>
      <c r="J6" s="238">
        <v>-6.8984971554954755E-2</v>
      </c>
      <c r="K6" s="219"/>
      <c r="L6" s="219"/>
      <c r="M6" s="219"/>
      <c r="N6" s="219"/>
      <c r="O6" s="233">
        <v>0.33804723273824039</v>
      </c>
      <c r="P6" s="230">
        <v>-7.0092671352739999E-2</v>
      </c>
      <c r="Q6" s="230">
        <v>0.16541160189183818</v>
      </c>
      <c r="R6" s="219"/>
      <c r="S6" s="219"/>
      <c r="T6" s="218"/>
      <c r="U6" s="221">
        <v>0.21973353876869392</v>
      </c>
      <c r="V6" s="221">
        <v>4.2237669118871161E-2</v>
      </c>
      <c r="W6" s="222">
        <f>IF(ISERR(X6*$AC$1/375),"",(X6*$AC$1/375))</f>
        <v>0.24100246607444367</v>
      </c>
      <c r="X6" s="223">
        <f>IF(ISERR(((($AC$1)^2)*0.002558)*E6*$F$1),"",(((($AC$1)^2)*0.002558)*E6*$F$1))</f>
        <v>3.6150369911166553</v>
      </c>
      <c r="Y6" s="223"/>
      <c r="Z6" s="224"/>
      <c r="AA6" s="222">
        <f t="shared" si="3"/>
        <v>7.7742163756141256</v>
      </c>
      <c r="AB6" s="223">
        <f t="shared" si="3"/>
        <v>5.9138069878330448</v>
      </c>
      <c r="AC6" s="223">
        <f t="shared" si="3"/>
        <v>1.8604093877810814</v>
      </c>
      <c r="AD6" s="223">
        <f t="shared" si="3"/>
        <v>-0.41358646227556467</v>
      </c>
      <c r="AE6" s="223"/>
      <c r="AF6" s="223"/>
      <c r="AG6" s="223"/>
      <c r="AH6" s="224"/>
      <c r="AI6" s="227">
        <f>IF(ISERR(AA6/X6),"",(AA6/X6))</f>
        <v>2.1505219434041623</v>
      </c>
      <c r="AJ6" s="239">
        <f>IF(ISERR(AB6/AA6),"",(AB6/AA6))</f>
        <v>0.7606949307949874</v>
      </c>
      <c r="AK6" s="228">
        <f>IF((ISERROR((Coeff!AB6+TestInfoPage!$B$6)/(Coeff!AA6+TestInfoPage!$B$5))),"",((Coeff!AB6+TestInfoPage!$B$6)/(Coeff!AA6+TestInfoPage!$B$5)))</f>
        <v>0.7606949307949874</v>
      </c>
      <c r="AL6" s="227"/>
      <c r="AM6" s="228"/>
      <c r="AN6" s="229"/>
      <c r="AO6" s="217">
        <f t="shared" si="2"/>
        <v>0.62293206289418501</v>
      </c>
      <c r="AP6" s="230">
        <v>0.76819173788839734</v>
      </c>
      <c r="AQ6" s="230">
        <v>0.53220337367200365</v>
      </c>
      <c r="AR6" s="230">
        <v>0.51113218095095858</v>
      </c>
      <c r="AS6" s="230">
        <v>0.68020095906538047</v>
      </c>
      <c r="AT6" s="219"/>
      <c r="AU6" s="219"/>
      <c r="AV6" s="219"/>
      <c r="AW6" s="218"/>
      <c r="AX6" s="233">
        <v>0.763823963153068</v>
      </c>
      <c r="AY6" s="230">
        <v>0.6825421607852582</v>
      </c>
      <c r="AZ6" s="223"/>
      <c r="BA6" s="224"/>
      <c r="BB6" s="217">
        <v>0.6771297134642964</v>
      </c>
      <c r="BC6" s="219">
        <v>0.9102011385260288</v>
      </c>
      <c r="BD6" s="219">
        <v>0.53764633848728649</v>
      </c>
      <c r="BE6" s="219">
        <v>0.97096380617045785</v>
      </c>
      <c r="BF6" s="219">
        <v>0.84654476978188031</v>
      </c>
      <c r="BG6" s="219">
        <v>-0.89995506567151329</v>
      </c>
      <c r="BH6" s="219">
        <v>-0.64221305528017669</v>
      </c>
      <c r="BI6" s="219">
        <v>-0.49284203705641705</v>
      </c>
      <c r="BJ6" s="219">
        <v>-0.53146342496796073</v>
      </c>
      <c r="BK6" s="219">
        <v>-1.3496423077912398</v>
      </c>
      <c r="BL6" s="219">
        <v>-1.9541367113087889</v>
      </c>
      <c r="BM6" s="219">
        <v>-2.4722307324521053</v>
      </c>
      <c r="BN6" s="219">
        <v>-1.9411515118812013</v>
      </c>
      <c r="BO6" s="219">
        <v>-0.1747310581762419</v>
      </c>
      <c r="BP6" s="219">
        <v>2.0416618621990901E-3</v>
      </c>
      <c r="BQ6" s="219">
        <v>5.883153011472475E-2</v>
      </c>
      <c r="BR6" s="219">
        <v>0.19316939166845518</v>
      </c>
      <c r="BS6" s="218">
        <v>-0.58458006788873718</v>
      </c>
      <c r="BT6" s="235"/>
      <c r="BU6" s="236"/>
      <c r="BV6" s="236"/>
      <c r="BW6" s="236"/>
      <c r="BX6" s="236"/>
      <c r="BY6" s="236"/>
      <c r="BZ6" s="236"/>
      <c r="CA6" s="236"/>
      <c r="CB6" s="236"/>
      <c r="CC6" s="236"/>
      <c r="CD6" s="236"/>
      <c r="CE6" s="236"/>
      <c r="CF6" s="236"/>
      <c r="CG6" s="236"/>
      <c r="CH6" s="236"/>
      <c r="CI6" s="236"/>
      <c r="CJ6" s="236"/>
      <c r="CK6" s="237"/>
      <c r="CM6" s="213"/>
      <c r="CN6" s="213"/>
      <c r="CO6" s="213"/>
      <c r="CP6" s="213"/>
      <c r="CQ6" s="213"/>
      <c r="CR6" s="213"/>
      <c r="CS6" s="213"/>
      <c r="CT6" s="213"/>
      <c r="CU6" s="213"/>
      <c r="CV6" s="213"/>
      <c r="CW6" s="213"/>
      <c r="CX6" s="213"/>
      <c r="CY6" s="213"/>
      <c r="CZ6" s="213"/>
      <c r="DA6" s="213"/>
      <c r="DB6" s="213"/>
      <c r="DC6" s="213"/>
      <c r="DD6" s="213"/>
      <c r="DE6" s="213"/>
      <c r="DF6" s="213"/>
      <c r="DG6" s="213"/>
      <c r="DH6" s="213"/>
      <c r="DI6" s="214"/>
      <c r="DJ6" s="214"/>
      <c r="DK6" s="214"/>
      <c r="DL6" s="214"/>
      <c r="DM6" s="214"/>
      <c r="DN6" s="214"/>
      <c r="DO6" s="214"/>
      <c r="DP6" s="214"/>
      <c r="DQ6" s="214"/>
      <c r="DR6" s="214"/>
      <c r="DS6" s="214"/>
      <c r="DT6" s="214"/>
      <c r="DU6" s="214"/>
      <c r="DV6" s="214"/>
      <c r="DW6" s="214"/>
      <c r="DX6" s="214"/>
      <c r="DY6" s="214"/>
      <c r="DZ6" s="214"/>
      <c r="EA6" s="214"/>
      <c r="EB6" s="214"/>
      <c r="EC6" s="214"/>
      <c r="ED6" s="214"/>
      <c r="EE6" s="214"/>
      <c r="EF6" s="214"/>
      <c r="EG6" s="214"/>
      <c r="EH6" s="214"/>
      <c r="EI6" s="214"/>
      <c r="EJ6" s="214"/>
      <c r="EK6" s="214"/>
      <c r="EL6" s="214"/>
      <c r="EM6" s="214"/>
      <c r="EN6" s="214"/>
      <c r="EO6" s="214"/>
      <c r="EP6" s="214"/>
      <c r="EQ6" s="214"/>
      <c r="ER6" s="214"/>
      <c r="ES6" s="214"/>
      <c r="ET6" s="214"/>
      <c r="EU6" s="214"/>
      <c r="EV6" s="214"/>
      <c r="EW6" s="214"/>
      <c r="EX6" s="214"/>
      <c r="EY6" s="214"/>
      <c r="EZ6" s="214"/>
      <c r="FA6" s="214"/>
      <c r="FB6" s="214"/>
      <c r="FC6" s="214"/>
      <c r="FD6" s="214"/>
      <c r="FE6" s="214"/>
      <c r="FF6" s="214"/>
      <c r="FG6" s="214"/>
      <c r="FH6" s="214"/>
      <c r="FI6" s="214"/>
      <c r="FJ6" s="214"/>
      <c r="FK6" s="214"/>
      <c r="FL6" s="214"/>
      <c r="FM6" s="214"/>
      <c r="FN6" s="214"/>
      <c r="FO6" s="214"/>
      <c r="FP6" s="214"/>
      <c r="FQ6" s="214"/>
      <c r="FR6" s="214"/>
      <c r="FS6" s="214"/>
      <c r="FT6" s="214"/>
      <c r="FU6" s="214"/>
      <c r="FV6" s="214"/>
      <c r="FW6" s="214"/>
      <c r="FX6" s="214"/>
      <c r="FY6" s="214"/>
      <c r="FZ6" s="214"/>
      <c r="GA6" s="214"/>
      <c r="GB6" s="214"/>
      <c r="GC6" s="214"/>
      <c r="GD6" s="214"/>
      <c r="GE6" s="214"/>
      <c r="GF6" s="214"/>
      <c r="GG6" s="214"/>
      <c r="GH6" s="214"/>
      <c r="GI6" s="214"/>
      <c r="GJ6" s="214"/>
      <c r="GK6" s="214"/>
      <c r="GL6" s="214"/>
      <c r="GM6" s="214"/>
      <c r="GN6" s="214"/>
      <c r="GO6" s="214"/>
      <c r="GP6" s="214"/>
      <c r="GQ6" s="214"/>
      <c r="GR6" s="214"/>
      <c r="GS6" s="214"/>
      <c r="GT6" s="214"/>
      <c r="GU6" s="214"/>
      <c r="GV6" s="214"/>
      <c r="GW6" s="214"/>
      <c r="GX6" s="214"/>
      <c r="GY6" s="214"/>
      <c r="GZ6" s="214"/>
      <c r="HA6" s="214"/>
      <c r="HB6" s="214"/>
      <c r="HC6" s="214"/>
      <c r="HD6" s="214"/>
      <c r="HE6" s="214"/>
      <c r="HF6" s="214"/>
      <c r="HG6" s="214"/>
      <c r="HH6" s="214"/>
      <c r="HI6" s="214"/>
      <c r="HJ6" s="214"/>
      <c r="HK6" s="214"/>
      <c r="HL6" s="214"/>
      <c r="HM6" s="214"/>
      <c r="HN6" s="214"/>
      <c r="HO6" s="214"/>
      <c r="HP6" s="214"/>
    </row>
    <row r="7" spans="1:224" s="212" customFormat="1" ht="13.5" customHeight="1" x14ac:dyDescent="0.25">
      <c r="A7" s="182">
        <v>0</v>
      </c>
      <c r="B7" s="215"/>
      <c r="C7" s="215">
        <v>3</v>
      </c>
      <c r="D7" s="216"/>
      <c r="E7" s="233">
        <v>4.6427904001649614</v>
      </c>
      <c r="F7" s="218"/>
      <c r="G7" s="230">
        <v>11.216295659476589</v>
      </c>
      <c r="H7" s="230">
        <v>9.1335191993088394</v>
      </c>
      <c r="I7" s="230">
        <v>2.0827764601677496</v>
      </c>
      <c r="J7" s="238">
        <v>-9.1915603665133752E-2</v>
      </c>
      <c r="K7" s="219"/>
      <c r="L7" s="219"/>
      <c r="M7" s="219"/>
      <c r="N7" s="219"/>
      <c r="O7" s="233">
        <v>3.5253713695705451</v>
      </c>
      <c r="P7" s="230">
        <v>-1.0542407361787378</v>
      </c>
      <c r="Q7" s="230">
        <v>-0.23047204805022398</v>
      </c>
      <c r="R7" s="219"/>
      <c r="S7" s="219"/>
      <c r="T7" s="218"/>
      <c r="U7" s="221">
        <v>6.0881758213795586E-2</v>
      </c>
      <c r="V7" s="221">
        <v>1.1702826856651818E-2</v>
      </c>
      <c r="W7" s="222">
        <f>IF(ISERR(X7*$AC$1/375),"",(X7*$AC$1/375))</f>
        <v>1.8556652880659328</v>
      </c>
      <c r="X7" s="223">
        <f>IF(ISERR(((($AC$1)^2)*0.002558)*E7*$F$1),"",(((($AC$1)^2)*0.002558)*E7*$F$1))</f>
        <v>27.834979320988992</v>
      </c>
      <c r="Y7" s="223"/>
      <c r="Z7" s="224"/>
      <c r="AA7" s="222">
        <f t="shared" si="3"/>
        <v>67.245197570955739</v>
      </c>
      <c r="AB7" s="223">
        <f t="shared" si="3"/>
        <v>54.758301824606271</v>
      </c>
      <c r="AC7" s="223">
        <f t="shared" si="3"/>
        <v>12.486895746349461</v>
      </c>
      <c r="AD7" s="223">
        <f t="shared" si="3"/>
        <v>-0.55106276759862216</v>
      </c>
      <c r="AE7" s="223"/>
      <c r="AF7" s="223"/>
      <c r="AG7" s="223"/>
      <c r="AH7" s="224"/>
      <c r="AI7" s="227">
        <f>IF(ISERR(AA7/X7),"",(AA7/X7))</f>
        <v>2.4158522553760058</v>
      </c>
      <c r="AJ7" s="239">
        <f>IF(ISERR(AB7/AA7),"",(AB7/AA7))</f>
        <v>0.81430799228192385</v>
      </c>
      <c r="AK7" s="228">
        <f>IF((ISERROR((Coeff!AB7+TestInfoPage!$B$6)/(Coeff!AA7+TestInfoPage!$B$5))),"",((Coeff!AB7+TestInfoPage!$B$6)/(Coeff!AA7+TestInfoPage!$B$5)))</f>
        <v>0.81430799228192385</v>
      </c>
      <c r="AL7" s="227"/>
      <c r="AM7" s="228"/>
      <c r="AN7" s="229"/>
      <c r="AO7" s="217">
        <f t="shared" si="2"/>
        <v>0.90975129958256939</v>
      </c>
      <c r="AP7" s="230">
        <v>1.0099834939919592</v>
      </c>
      <c r="AQ7" s="230" t="s">
        <v>119</v>
      </c>
      <c r="AR7" s="230" t="s">
        <v>119</v>
      </c>
      <c r="AS7" s="230">
        <v>0.80951910517317949</v>
      </c>
      <c r="AT7" s="219"/>
      <c r="AU7" s="219"/>
      <c r="AV7" s="219"/>
      <c r="AW7" s="218"/>
      <c r="AX7" s="233">
        <v>1.0438469319512729</v>
      </c>
      <c r="AY7" s="230">
        <v>0.7823420097589967</v>
      </c>
      <c r="AZ7" s="223"/>
      <c r="BA7" s="224"/>
      <c r="BB7" s="217">
        <v>-2.2918009030853801</v>
      </c>
      <c r="BC7" s="219">
        <v>-1.435582063248706</v>
      </c>
      <c r="BD7" s="219">
        <v>-3.0984738974300248</v>
      </c>
      <c r="BE7" s="219">
        <v>-1.5424771302076197</v>
      </c>
      <c r="BF7" s="219">
        <v>-2.003774143432123</v>
      </c>
      <c r="BG7" s="219">
        <v>-8.9982534962845584</v>
      </c>
      <c r="BH7" s="219">
        <v>-8.4781343407970748</v>
      </c>
      <c r="BI7" s="219">
        <v>-7.3942160226957627</v>
      </c>
      <c r="BJ7" s="219">
        <v>-7.1549588810036218</v>
      </c>
      <c r="BK7" s="219">
        <v>-9.9374707772743189</v>
      </c>
      <c r="BL7" s="219">
        <v>-12.181211024267467</v>
      </c>
      <c r="BM7" s="219">
        <v>-15.09787138251232</v>
      </c>
      <c r="BN7" s="219">
        <v>-13.11388682403491</v>
      </c>
      <c r="BO7" s="219">
        <v>-6.2428421745889349</v>
      </c>
      <c r="BP7" s="219">
        <v>-5.2886638721319992</v>
      </c>
      <c r="BQ7" s="219">
        <v>-5.1734635848076813</v>
      </c>
      <c r="BR7" s="219">
        <v>-4.8409242325536814</v>
      </c>
      <c r="BS7" s="218">
        <v>-18.469187631787246</v>
      </c>
      <c r="BT7" s="235"/>
      <c r="BU7" s="236"/>
      <c r="BV7" s="236"/>
      <c r="BW7" s="236"/>
      <c r="BX7" s="236"/>
      <c r="BY7" s="236"/>
      <c r="BZ7" s="236"/>
      <c r="CA7" s="236"/>
      <c r="CB7" s="236"/>
      <c r="CC7" s="236"/>
      <c r="CD7" s="236"/>
      <c r="CE7" s="236"/>
      <c r="CF7" s="236"/>
      <c r="CG7" s="236"/>
      <c r="CH7" s="236"/>
      <c r="CI7" s="236"/>
      <c r="CJ7" s="236"/>
      <c r="CK7" s="237"/>
      <c r="CM7" s="213"/>
      <c r="CN7" s="213"/>
      <c r="CO7" s="213"/>
      <c r="CP7" s="213"/>
      <c r="CQ7" s="213"/>
      <c r="CR7" s="213"/>
      <c r="CS7" s="213"/>
      <c r="CT7" s="213"/>
      <c r="CU7" s="213"/>
      <c r="CV7" s="213"/>
      <c r="CW7" s="213"/>
      <c r="CX7" s="213"/>
      <c r="CY7" s="213"/>
      <c r="CZ7" s="213"/>
      <c r="DA7" s="213"/>
      <c r="DB7" s="213"/>
      <c r="DC7" s="213"/>
      <c r="DD7" s="213"/>
      <c r="DE7" s="213"/>
      <c r="DF7" s="213"/>
      <c r="DG7" s="213"/>
      <c r="DH7" s="213"/>
      <c r="DI7" s="214"/>
      <c r="DJ7" s="214"/>
      <c r="DK7" s="214"/>
      <c r="DL7" s="214"/>
      <c r="DM7" s="214"/>
      <c r="DN7" s="214"/>
      <c r="DO7" s="214"/>
      <c r="DP7" s="214"/>
      <c r="DQ7" s="214"/>
      <c r="DR7" s="214"/>
      <c r="DS7" s="214"/>
      <c r="DT7" s="214"/>
      <c r="DU7" s="214"/>
      <c r="DV7" s="214"/>
      <c r="DW7" s="214"/>
      <c r="DX7" s="214"/>
      <c r="DY7" s="214"/>
      <c r="DZ7" s="214"/>
      <c r="EA7" s="214"/>
      <c r="EB7" s="214"/>
      <c r="EC7" s="214"/>
      <c r="ED7" s="214"/>
      <c r="EE7" s="214"/>
      <c r="EF7" s="214"/>
      <c r="EG7" s="214"/>
      <c r="EH7" s="214"/>
      <c r="EI7" s="214"/>
      <c r="EJ7" s="214"/>
      <c r="EK7" s="214"/>
      <c r="EL7" s="214"/>
      <c r="EM7" s="214"/>
      <c r="EN7" s="214"/>
      <c r="EO7" s="214"/>
      <c r="EP7" s="214"/>
      <c r="EQ7" s="214"/>
      <c r="ER7" s="214"/>
      <c r="ES7" s="214"/>
      <c r="ET7" s="214"/>
      <c r="EU7" s="214"/>
      <c r="EV7" s="214"/>
      <c r="EW7" s="214"/>
      <c r="EX7" s="214"/>
      <c r="EY7" s="214"/>
      <c r="EZ7" s="214"/>
      <c r="FA7" s="214"/>
      <c r="FB7" s="214"/>
      <c r="FC7" s="214"/>
      <c r="FD7" s="214"/>
      <c r="FE7" s="214"/>
      <c r="FF7" s="214"/>
      <c r="FG7" s="214"/>
      <c r="FH7" s="214"/>
      <c r="FI7" s="214"/>
      <c r="FJ7" s="214"/>
      <c r="FK7" s="214"/>
      <c r="FL7" s="214"/>
      <c r="FM7" s="214"/>
      <c r="FN7" s="214"/>
      <c r="FO7" s="214"/>
      <c r="FP7" s="214"/>
      <c r="FQ7" s="214"/>
      <c r="FR7" s="214"/>
      <c r="FS7" s="214"/>
      <c r="FT7" s="214"/>
      <c r="FU7" s="214"/>
      <c r="FV7" s="214"/>
      <c r="FW7" s="214"/>
      <c r="FX7" s="214"/>
      <c r="FY7" s="214"/>
      <c r="FZ7" s="214"/>
      <c r="GA7" s="214"/>
      <c r="GB7" s="214"/>
      <c r="GC7" s="214"/>
      <c r="GD7" s="214"/>
      <c r="GE7" s="214"/>
      <c r="GF7" s="214"/>
      <c r="GG7" s="214"/>
      <c r="GH7" s="214"/>
      <c r="GI7" s="214"/>
      <c r="GJ7" s="214"/>
      <c r="GK7" s="214"/>
      <c r="GL7" s="214"/>
      <c r="GM7" s="214"/>
      <c r="GN7" s="214"/>
      <c r="GO7" s="214"/>
      <c r="GP7" s="214"/>
      <c r="GQ7" s="214"/>
      <c r="GR7" s="214"/>
      <c r="GS7" s="214"/>
      <c r="GT7" s="214"/>
      <c r="GU7" s="214"/>
      <c r="GV7" s="214"/>
      <c r="GW7" s="214"/>
      <c r="GX7" s="214"/>
      <c r="GY7" s="214"/>
      <c r="GZ7" s="214"/>
      <c r="HA7" s="214"/>
      <c r="HB7" s="214"/>
      <c r="HC7" s="214"/>
      <c r="HD7" s="214"/>
      <c r="HE7" s="214"/>
      <c r="HF7" s="214"/>
      <c r="HG7" s="214"/>
      <c r="HH7" s="214"/>
      <c r="HI7" s="214"/>
      <c r="HJ7" s="214"/>
      <c r="HK7" s="214"/>
      <c r="HL7" s="214"/>
      <c r="HM7" s="214"/>
      <c r="HN7" s="214"/>
      <c r="HO7" s="214"/>
      <c r="HP7" s="214"/>
    </row>
    <row r="8" spans="1:224" s="212" customFormat="1" ht="13.5" customHeight="1" thickBot="1" x14ac:dyDescent="0.3">
      <c r="A8" s="182">
        <v>0</v>
      </c>
      <c r="B8" s="240"/>
      <c r="C8" s="240">
        <v>4</v>
      </c>
      <c r="D8" s="216"/>
      <c r="E8" s="233" t="s">
        <v>119</v>
      </c>
      <c r="F8" s="218"/>
      <c r="G8" s="230" t="s">
        <v>119</v>
      </c>
      <c r="H8" s="230" t="s">
        <v>119</v>
      </c>
      <c r="I8" s="230" t="s">
        <v>119</v>
      </c>
      <c r="J8" s="230" t="s">
        <v>119</v>
      </c>
      <c r="K8" s="219"/>
      <c r="L8" s="219"/>
      <c r="M8" s="219"/>
      <c r="N8" s="219"/>
      <c r="O8" s="233" t="s">
        <v>119</v>
      </c>
      <c r="P8" s="230" t="s">
        <v>119</v>
      </c>
      <c r="Q8" s="230" t="s">
        <v>119</v>
      </c>
      <c r="R8" s="219"/>
      <c r="S8" s="219"/>
      <c r="T8" s="241"/>
      <c r="U8" s="242" t="s">
        <v>119</v>
      </c>
      <c r="V8" s="242" t="s">
        <v>119</v>
      </c>
      <c r="W8" s="222" t="str">
        <f>IF(ISERR(X8*$AC$1/375),"",(X8*$AC$1/375))</f>
        <v/>
      </c>
      <c r="X8" s="223" t="str">
        <f>IF(ISERR(((($AC$1)^2)*0.002558)*E8*$F$1),"",(((($AC$1)^2)*0.002558)*E8*$F$1))</f>
        <v/>
      </c>
      <c r="Y8" s="223"/>
      <c r="Z8" s="224"/>
      <c r="AA8" s="222" t="str">
        <f t="shared" si="3"/>
        <v/>
      </c>
      <c r="AB8" s="223" t="str">
        <f t="shared" si="3"/>
        <v/>
      </c>
      <c r="AC8" s="223" t="str">
        <f t="shared" si="3"/>
        <v/>
      </c>
      <c r="AD8" s="223" t="str">
        <f t="shared" si="3"/>
        <v/>
      </c>
      <c r="AE8" s="223"/>
      <c r="AF8" s="223"/>
      <c r="AG8" s="223"/>
      <c r="AH8" s="224"/>
      <c r="AI8" s="227" t="str">
        <f>IF(ISERR(AA8/X8),"",(AA8/X8))</f>
        <v/>
      </c>
      <c r="AJ8" s="239" t="str">
        <f>IF(ISERR(AB8/AA8),"",(AB8/AA8))</f>
        <v/>
      </c>
      <c r="AK8" s="228" t="str">
        <f>IF((ISERROR((Coeff!AB8+TestInfoPage!$B$6)/(Coeff!AA8+TestInfoPage!$B$5))),"",((Coeff!AB8+TestInfoPage!$B$6)/(Coeff!AA8+TestInfoPage!$B$5)))</f>
        <v/>
      </c>
      <c r="AL8" s="227"/>
      <c r="AM8" s="228"/>
      <c r="AN8" s="229"/>
      <c r="AO8" s="217" t="str">
        <f t="shared" si="2"/>
        <v/>
      </c>
      <c r="AP8" s="230" t="s">
        <v>119</v>
      </c>
      <c r="AQ8" s="230" t="s">
        <v>119</v>
      </c>
      <c r="AR8" s="230" t="s">
        <v>119</v>
      </c>
      <c r="AS8" s="230" t="s">
        <v>119</v>
      </c>
      <c r="AT8" s="219"/>
      <c r="AU8" s="219"/>
      <c r="AV8" s="219"/>
      <c r="AW8" s="218"/>
      <c r="AX8" s="233" t="s">
        <v>119</v>
      </c>
      <c r="AY8" s="230" t="s">
        <v>119</v>
      </c>
      <c r="AZ8" s="223"/>
      <c r="BA8" s="224"/>
      <c r="BB8" s="243" t="s">
        <v>119</v>
      </c>
      <c r="BC8" s="244" t="s">
        <v>119</v>
      </c>
      <c r="BD8" s="244" t="s">
        <v>119</v>
      </c>
      <c r="BE8" s="244" t="s">
        <v>119</v>
      </c>
      <c r="BF8" s="244" t="s">
        <v>119</v>
      </c>
      <c r="BG8" s="244" t="s">
        <v>119</v>
      </c>
      <c r="BH8" s="244" t="s">
        <v>119</v>
      </c>
      <c r="BI8" s="244" t="s">
        <v>119</v>
      </c>
      <c r="BJ8" s="244" t="s">
        <v>119</v>
      </c>
      <c r="BK8" s="244" t="s">
        <v>119</v>
      </c>
      <c r="BL8" s="244" t="s">
        <v>119</v>
      </c>
      <c r="BM8" s="244" t="s">
        <v>119</v>
      </c>
      <c r="BN8" s="244" t="s">
        <v>119</v>
      </c>
      <c r="BO8" s="244" t="s">
        <v>119</v>
      </c>
      <c r="BP8" s="244" t="s">
        <v>119</v>
      </c>
      <c r="BQ8" s="244" t="s">
        <v>119</v>
      </c>
      <c r="BR8" s="244" t="s">
        <v>119</v>
      </c>
      <c r="BS8" s="241" t="s">
        <v>119</v>
      </c>
      <c r="BT8" s="235"/>
      <c r="BU8" s="236"/>
      <c r="BV8" s="236"/>
      <c r="BW8" s="236"/>
      <c r="BX8" s="236"/>
      <c r="BY8" s="236"/>
      <c r="BZ8" s="236"/>
      <c r="CA8" s="236"/>
      <c r="CB8" s="236"/>
      <c r="CC8" s="236"/>
      <c r="CD8" s="236"/>
      <c r="CE8" s="236"/>
      <c r="CF8" s="236"/>
      <c r="CG8" s="236"/>
      <c r="CH8" s="236"/>
      <c r="CI8" s="236"/>
      <c r="CJ8" s="236"/>
      <c r="CK8" s="237"/>
      <c r="CM8" s="213"/>
      <c r="CN8" s="213"/>
      <c r="CO8" s="213"/>
      <c r="CP8" s="213"/>
      <c r="CQ8" s="213"/>
      <c r="CR8" s="213"/>
      <c r="CS8" s="213"/>
      <c r="CT8" s="213"/>
      <c r="CU8" s="213"/>
      <c r="CV8" s="213"/>
      <c r="CW8" s="213"/>
      <c r="CX8" s="213"/>
      <c r="CY8" s="213"/>
      <c r="CZ8" s="213"/>
      <c r="DA8" s="213"/>
      <c r="DB8" s="213"/>
      <c r="DC8" s="213"/>
      <c r="DD8" s="213"/>
      <c r="DE8" s="213"/>
      <c r="DF8" s="213"/>
      <c r="DG8" s="213"/>
      <c r="DH8" s="213"/>
      <c r="DI8" s="214"/>
      <c r="DJ8" s="214"/>
      <c r="DK8" s="214"/>
      <c r="DL8" s="214"/>
      <c r="DM8" s="214"/>
      <c r="DN8" s="214"/>
      <c r="DO8" s="214"/>
      <c r="DP8" s="214"/>
      <c r="DQ8" s="214"/>
      <c r="DR8" s="214"/>
      <c r="DS8" s="214"/>
      <c r="DT8" s="214"/>
      <c r="DU8" s="214"/>
      <c r="DV8" s="214"/>
      <c r="DW8" s="214"/>
      <c r="DX8" s="214"/>
      <c r="DY8" s="214"/>
      <c r="DZ8" s="214"/>
      <c r="EA8" s="214"/>
      <c r="EB8" s="214"/>
      <c r="EC8" s="214"/>
      <c r="ED8" s="214"/>
      <c r="EE8" s="214"/>
      <c r="EF8" s="214"/>
      <c r="EG8" s="214"/>
      <c r="EH8" s="214"/>
      <c r="EI8" s="214"/>
      <c r="EJ8" s="214"/>
      <c r="EK8" s="214"/>
      <c r="EL8" s="214"/>
      <c r="EM8" s="214"/>
      <c r="EN8" s="214"/>
      <c r="EO8" s="214"/>
      <c r="EP8" s="214"/>
      <c r="EQ8" s="214"/>
      <c r="ER8" s="214"/>
      <c r="ES8" s="214"/>
      <c r="ET8" s="214"/>
      <c r="EU8" s="214"/>
      <c r="EV8" s="214"/>
      <c r="EW8" s="214"/>
      <c r="EX8" s="214"/>
      <c r="EY8" s="214"/>
      <c r="EZ8" s="214"/>
      <c r="FA8" s="214"/>
      <c r="FB8" s="214"/>
      <c r="FC8" s="214"/>
      <c r="FD8" s="214"/>
      <c r="FE8" s="214"/>
      <c r="FF8" s="214"/>
      <c r="FG8" s="214"/>
      <c r="FH8" s="214"/>
      <c r="FI8" s="214"/>
      <c r="FJ8" s="214"/>
      <c r="FK8" s="214"/>
      <c r="FL8" s="214"/>
      <c r="FM8" s="214"/>
      <c r="FN8" s="214"/>
      <c r="FO8" s="214"/>
      <c r="FP8" s="214"/>
      <c r="FQ8" s="214"/>
      <c r="FR8" s="214"/>
      <c r="FS8" s="214"/>
      <c r="FT8" s="214"/>
      <c r="FU8" s="214"/>
      <c r="FV8" s="214"/>
      <c r="FW8" s="214"/>
      <c r="FX8" s="214"/>
      <c r="FY8" s="214"/>
      <c r="FZ8" s="214"/>
      <c r="GA8" s="214"/>
      <c r="GB8" s="214"/>
      <c r="GC8" s="214"/>
      <c r="GD8" s="214"/>
      <c r="GE8" s="214"/>
      <c r="GF8" s="214"/>
      <c r="GG8" s="214"/>
      <c r="GH8" s="214"/>
      <c r="GI8" s="214"/>
      <c r="GJ8" s="214"/>
      <c r="GK8" s="214"/>
      <c r="GL8" s="214"/>
      <c r="GM8" s="214"/>
      <c r="GN8" s="214"/>
      <c r="GO8" s="214"/>
      <c r="GP8" s="214"/>
      <c r="GQ8" s="214"/>
      <c r="GR8" s="214"/>
      <c r="GS8" s="214"/>
      <c r="GT8" s="214"/>
      <c r="GU8" s="214"/>
      <c r="GV8" s="214"/>
      <c r="GW8" s="214"/>
      <c r="GX8" s="214"/>
      <c r="GY8" s="214"/>
      <c r="GZ8" s="214"/>
      <c r="HA8" s="214"/>
      <c r="HB8" s="214"/>
      <c r="HC8" s="214"/>
      <c r="HD8" s="214"/>
      <c r="HE8" s="214"/>
      <c r="HF8" s="214"/>
      <c r="HG8" s="214"/>
      <c r="HH8" s="214"/>
      <c r="HI8" s="214"/>
      <c r="HJ8" s="214"/>
      <c r="HK8" s="214"/>
      <c r="HL8" s="214"/>
      <c r="HM8" s="214"/>
      <c r="HN8" s="214"/>
      <c r="HO8" s="214"/>
      <c r="HP8" s="214"/>
    </row>
    <row r="9" spans="1:224" ht="14.25" thickBot="1" x14ac:dyDescent="0.3">
      <c r="A9" s="158" t="s">
        <v>120</v>
      </c>
      <c r="B9" s="9">
        <f>B4+1</f>
        <v>2</v>
      </c>
      <c r="C9" s="66" t="s">
        <v>56</v>
      </c>
      <c r="D9" s="75"/>
      <c r="E9" s="82">
        <f>IF(ISERR(AVERAGE(E10:E13)),"",AVERAGE(E10:E13))</f>
        <v>0.16166941102594698</v>
      </c>
      <c r="F9" s="78" t="str">
        <f>IF($D9="","",E9-VLOOKUP($D9,$B$4:$BS$990,4,FALSE))</f>
        <v/>
      </c>
      <c r="G9" s="44">
        <f t="shared" ref="G9:Q9" si="4">IF(ISERR(AVERAGE(G10:G13)),"",AVERAGE(G10:G13))</f>
        <v>0.35833742215447772</v>
      </c>
      <c r="H9" s="8">
        <f t="shared" si="4"/>
        <v>0.41618311557511189</v>
      </c>
      <c r="I9" s="8">
        <f t="shared" si="4"/>
        <v>-5.7845693420634177E-2</v>
      </c>
      <c r="J9" s="44">
        <f>IF(ISERR(AVERAGE(J10:J13)),"",AVERAGE(J10:J13))</f>
        <v>1.4435100338637029E-2</v>
      </c>
      <c r="K9" s="56" t="str">
        <f>IF($D9="","",G9-VLOOKUP($D9,$B$4:$BS$990,6,FALSE))</f>
        <v/>
      </c>
      <c r="L9" s="56" t="str">
        <f>IF($D9="","",H9-VLOOKUP($D9,$B$4:$BS$990,7,FALSE))</f>
        <v/>
      </c>
      <c r="M9" s="56" t="str">
        <f>IF($D9="","",I9-VLOOKUP($D9,$B$4:$BS$990,8,FALSE))</f>
        <v/>
      </c>
      <c r="N9" s="74" t="str">
        <f>IF($D9="","",J9-VLOOKUP($D9,$B$4:$BS$990,9,FALSE))</f>
        <v/>
      </c>
      <c r="O9" s="82">
        <f t="shared" si="4"/>
        <v>0.23701440449787303</v>
      </c>
      <c r="P9" s="8">
        <f t="shared" si="4"/>
        <v>-1.7340359386739921E-2</v>
      </c>
      <c r="Q9" s="8">
        <f t="shared" si="4"/>
        <v>5.5436650576105813E-2</v>
      </c>
      <c r="R9" s="56" t="str">
        <f>IF($D9="","",O9-VLOOKUP($D9,$B$4:$BS$990,14,FALSE))</f>
        <v/>
      </c>
      <c r="S9" s="56" t="str">
        <f>IF($D9="","",P9-VLOOKUP($D9,$B$4:$BS$990,15,FALSE))</f>
        <v/>
      </c>
      <c r="T9" s="78" t="str">
        <f>IF($D9="","",Q9-VLOOKUP($D9,$B$4:$BS$990,16,FALSE))</f>
        <v/>
      </c>
      <c r="U9" s="44">
        <f t="shared" ref="U9:AS9" si="5">IF(ISERR(AVERAGE(U10:U13)),"",AVERAGE(U10:U13))</f>
        <v>1.4353642129555868</v>
      </c>
      <c r="V9" s="11">
        <f t="shared" si="5"/>
        <v>0.27590889871257396</v>
      </c>
      <c r="W9" s="88">
        <f t="shared" si="5"/>
        <v>6.4617242719433185E-2</v>
      </c>
      <c r="X9" s="32">
        <f t="shared" si="5"/>
        <v>0.96925864079149782</v>
      </c>
      <c r="Y9" s="71" t="str">
        <f>IF($D9="","",W9-VLOOKUP($D9,$B$4:$BS$990,22,FALSE))</f>
        <v/>
      </c>
      <c r="Z9" s="89" t="str">
        <f>IF($D9="","",X9-VLOOKUP($D9,$B$4:$BS$990,23,FALSE))</f>
        <v/>
      </c>
      <c r="AA9" s="88">
        <f t="shared" si="5"/>
        <v>2.1483448262605171</v>
      </c>
      <c r="AB9" s="31">
        <f t="shared" si="5"/>
        <v>2.4951478350964127</v>
      </c>
      <c r="AC9" s="31">
        <f t="shared" si="5"/>
        <v>-0.34680300883589577</v>
      </c>
      <c r="AD9" s="32">
        <f>IF(ISERR(AVERAGE(AD10:AD13)),"",AVERAGE(AD10:AD13))</f>
        <v>8.6542937498984812E-2</v>
      </c>
      <c r="AE9" s="71" t="str">
        <f>IF($D9="","",AA9-VLOOKUP($D9,$B$4:$BS$990,26,FALSE))</f>
        <v/>
      </c>
      <c r="AF9" s="71" t="str">
        <f>IF($D9="","",AB9-VLOOKUP($D9,$B$4:$BS$990,27,FALSE))</f>
        <v/>
      </c>
      <c r="AG9" s="92" t="str">
        <f>IF($D9="","",AC9-VLOOKUP($D9,$B$4:$BS$990,28,FALSE))</f>
        <v/>
      </c>
      <c r="AH9" s="89" t="str">
        <f>IF($D9="","",AD9-VLOOKUP($D9,$B$4:$BS$990,29,FALSE))</f>
        <v/>
      </c>
      <c r="AI9" s="95">
        <f t="shared" si="5"/>
        <v>2.2159452507215329</v>
      </c>
      <c r="AJ9" s="35">
        <f t="shared" si="5"/>
        <v>1.1643084129225771</v>
      </c>
      <c r="AK9" s="138">
        <f>IF((ISERROR((Coeff!AB9+TestInfoPage!$B$6)/(Coeff!AA9+TestInfoPage!$B$5))),"",((Coeff!AB9+TestInfoPage!$B$6)/(Coeff!AA9+TestInfoPage!$B$5)))</f>
        <v>1.1614280001034809</v>
      </c>
      <c r="AL9" s="135" t="str">
        <f>IF($D9="","",AI9-VLOOKUP($D9,$B$4:$BS$990,34,FALSE))</f>
        <v/>
      </c>
      <c r="AM9" s="72" t="str">
        <f>IF($D9="","",AJ9-VLOOKUP($D9,$B$4:$BS$990,35,FALSE))</f>
        <v/>
      </c>
      <c r="AN9" s="115" t="str">
        <f>IF($D9="","",AK9-VLOOKUP($D9,$B$4:$BS$990,36,FALSE))</f>
        <v/>
      </c>
      <c r="AO9" s="134">
        <f t="shared" si="2"/>
        <v>3.3518629151586432E-2</v>
      </c>
      <c r="AP9" s="44">
        <f t="shared" si="5"/>
        <v>5.8067725821759772E-2</v>
      </c>
      <c r="AQ9" s="8">
        <f t="shared" si="5"/>
        <v>1.5660249194971668E-2</v>
      </c>
      <c r="AR9" s="11">
        <f t="shared" si="5"/>
        <v>2.3575367330074995E-2</v>
      </c>
      <c r="AS9" s="11">
        <f t="shared" si="5"/>
        <v>3.677117425953931E-2</v>
      </c>
      <c r="AT9" s="56" t="e">
        <f>IF(ISERR(AP9-VLOOKUP($D9,$B$4:$BS$990,41,FALSE)),"",(AP9-VLOOKUP($D9,$B$4:$BS$990,41,FALSE)))</f>
        <v>#N/A</v>
      </c>
      <c r="AU9" s="56" t="e">
        <f>IF(ISERR(AQ9-VLOOKUP($D9,$B$4:$BS$990,42,FALSE)),"",(AQ9-VLOOKUP($D9,$B$4:$BS$990,42,FALSE)))</f>
        <v>#N/A</v>
      </c>
      <c r="AV9" s="74" t="e">
        <f>IF(ISERR(AR9-VLOOKUP($D9,$B$4:$BS$990,43,FALSE)),"",AR9-VLOOKUP($D9,$B$4:$BS$990,43,FALSE))</f>
        <v>#N/A</v>
      </c>
      <c r="AW9" s="74" t="e">
        <f>IF(ISERR(AS9-VLOOKUP($D9,$B$4:$BS$990,44,FALSE)),"",AS9-VLOOKUP($D9,$B$4:$BS$990,44,FALSE))</f>
        <v>#N/A</v>
      </c>
      <c r="AX9" s="82">
        <f t="shared" ref="AX9:AY9" si="6">IF(ISERR(AVERAGE(AX10:AX13)),"",AVERAGE(AX10:AX13))</f>
        <v>2.6390294841041224E-2</v>
      </c>
      <c r="AY9" s="11">
        <f t="shared" si="6"/>
        <v>3.1121212805645407E-2</v>
      </c>
      <c r="AZ9" s="89" t="e">
        <f>IF(ISERR(AX9-VLOOKUP($D9,$B$4:$BS$990,49,FALSE)),"",(AX9-VLOOKUP($D9,$B$4:$BS$990,49,FALSE)))</f>
        <v>#N/A</v>
      </c>
      <c r="BA9" s="89" t="e">
        <f>IF(ISERR(AY9-VLOOKUP($D9,$B$4:$BS$990,50,FALSE)),"",(AY9-VLOOKUP($D9,$B$4:$BS$990,50,FALSE)))</f>
        <v>#N/A</v>
      </c>
      <c r="BB9" s="82">
        <f t="shared" ref="BB9:BS9" si="7">IF(ISERR(AVERAGE(BB10:BB13)),"",AVERAGE(BB10:BB13))</f>
        <v>-7.3859410289548899E-2</v>
      </c>
      <c r="BC9" s="8">
        <f t="shared" si="7"/>
        <v>-8.4491438306678837E-2</v>
      </c>
      <c r="BD9" s="8">
        <f t="shared" si="7"/>
        <v>-9.0306822983164392E-2</v>
      </c>
      <c r="BE9" s="8">
        <f t="shared" si="7"/>
        <v>-9.713924494287407E-2</v>
      </c>
      <c r="BF9" s="8">
        <f t="shared" si="7"/>
        <v>-8.3723323544496797E-2</v>
      </c>
      <c r="BG9" s="8">
        <f t="shared" si="7"/>
        <v>-0.10674024789960009</v>
      </c>
      <c r="BH9" s="8">
        <f t="shared" si="7"/>
        <v>-4.9700963265919315E-2</v>
      </c>
      <c r="BI9" s="8">
        <f t="shared" si="7"/>
        <v>-7.8670855880410506E-2</v>
      </c>
      <c r="BJ9" s="8">
        <f t="shared" si="7"/>
        <v>-9.4474383512696353E-2</v>
      </c>
      <c r="BK9" s="8">
        <f t="shared" si="7"/>
        <v>-9.1740806302611597E-2</v>
      </c>
      <c r="BL9" s="8">
        <f t="shared" si="7"/>
        <v>-0.10096634965115986</v>
      </c>
      <c r="BM9" s="8">
        <f t="shared" si="7"/>
        <v>-8.7687944361611411E-2</v>
      </c>
      <c r="BN9" s="8">
        <f t="shared" si="7"/>
        <v>-9.333591202612207E-2</v>
      </c>
      <c r="BO9" s="8">
        <f t="shared" si="7"/>
        <v>-9.3073566211467701E-2</v>
      </c>
      <c r="BP9" s="8">
        <f t="shared" si="7"/>
        <v>-9.2486920891031568E-2</v>
      </c>
      <c r="BQ9" s="8">
        <f t="shared" si="7"/>
        <v>-8.2709517366963303E-2</v>
      </c>
      <c r="BR9" s="8">
        <f t="shared" si="7"/>
        <v>-8.9889477665593687E-2</v>
      </c>
      <c r="BS9" s="103">
        <f t="shared" si="7"/>
        <v>-0.1076822282141192</v>
      </c>
      <c r="BT9" s="106" t="str">
        <f>IF($D9="","",BB9-VLOOKUP($D9,$B$4:$BS$990,53,FALSE))</f>
        <v/>
      </c>
      <c r="BU9" s="56" t="str">
        <f>IF($D9="","",BC9-VLOOKUP($D9,$B$4:$BS$990,54,FALSE))</f>
        <v/>
      </c>
      <c r="BV9" s="56" t="str">
        <f>IF($D9="","",BD9-VLOOKUP($D9,$B$4:$BS$990,55,FALSE))</f>
        <v/>
      </c>
      <c r="BW9" s="56" t="str">
        <f>IF($D9="","",BE9-VLOOKUP($D9,$B$4:$BS$990,56,FALSE))</f>
        <v/>
      </c>
      <c r="BX9" s="56" t="str">
        <f>IF($D9="","",BF9-VLOOKUP($D9,$B$4:$BS$990,57,FALSE))</f>
        <v/>
      </c>
      <c r="BY9" s="56" t="str">
        <f>IF($D9="","",BG9-VLOOKUP($D9,$B$4:$BS$990,58,FALSE))</f>
        <v/>
      </c>
      <c r="BZ9" s="56" t="str">
        <f>IF($D9="","",BH9-VLOOKUP($D9,$B$4:$BS$990,59,FALSE))</f>
        <v/>
      </c>
      <c r="CA9" s="56" t="str">
        <f>IF($D9="","",BI9-VLOOKUP($D9,$B$4:$BS$990,60,FALSE))</f>
        <v/>
      </c>
      <c r="CB9" s="56" t="str">
        <f>IF($D9="","",BJ9-VLOOKUP($D9,$B$4:$BS$990,61,FALSE))</f>
        <v/>
      </c>
      <c r="CC9" s="56" t="str">
        <f>IF($D9="","",BK9-VLOOKUP($D9,$B$4:$BS$990,62,FALSE))</f>
        <v/>
      </c>
      <c r="CD9" s="56" t="str">
        <f>IF($D9="","",BL9-VLOOKUP($D9,$B$4:$BS$990,63,FALSE))</f>
        <v/>
      </c>
      <c r="CE9" s="56" t="str">
        <f>IF($D9="","",BM9-VLOOKUP($D9,$B$4:$BS$990,64,FALSE))</f>
        <v/>
      </c>
      <c r="CF9" s="56" t="str">
        <f>IF($D9="","",BN9-VLOOKUP($D9,$B$4:$BS$990,65,FALSE))</f>
        <v/>
      </c>
      <c r="CG9" s="56" t="str">
        <f>IF($D9="","",BO9-VLOOKUP($D9,$B$4:$BS$990,66,FALSE))</f>
        <v/>
      </c>
      <c r="CH9" s="56" t="str">
        <f>IF($D9="","",BP9-VLOOKUP($D9,$B$4:$BS$990,67,FALSE))</f>
        <v/>
      </c>
      <c r="CI9" s="56" t="str">
        <f>IF($D9="","",BQ9-VLOOKUP($D9,$B$4:$BS$990,68,FALSE))</f>
        <v/>
      </c>
      <c r="CJ9" s="56" t="str">
        <f>IF($D9="","",BR9-VLOOKUP($D9,$B$4:$BS$990,69,FALSE))</f>
        <v/>
      </c>
      <c r="CK9" s="78" t="str">
        <f>IF($D9="","",BS9-VLOOKUP($D9,$B$4:$BS$990,70,FALSE))</f>
        <v/>
      </c>
      <c r="CL9" s="1"/>
      <c r="DI9" s="3"/>
      <c r="DJ9" s="3"/>
      <c r="DK9" s="3"/>
      <c r="DL9" s="3"/>
      <c r="DM9" s="3"/>
      <c r="DN9" s="3"/>
      <c r="DO9" s="3"/>
      <c r="DP9" s="3"/>
      <c r="DQ9" s="3"/>
      <c r="DR9" s="3"/>
      <c r="DS9" s="3"/>
      <c r="DT9" s="3"/>
      <c r="DU9" s="3"/>
      <c r="DV9" s="3"/>
      <c r="DW9" s="3"/>
      <c r="DX9" s="3"/>
      <c r="DY9" s="3"/>
      <c r="DZ9" s="3"/>
      <c r="EA9" s="3"/>
      <c r="EB9" s="3"/>
      <c r="EC9" s="3"/>
      <c r="ED9" s="3"/>
      <c r="EE9" s="3"/>
      <c r="EF9" s="3"/>
      <c r="EG9" s="3"/>
      <c r="EH9" s="3"/>
      <c r="EI9" s="3"/>
      <c r="EJ9" s="3"/>
      <c r="EK9" s="3"/>
      <c r="EL9" s="3"/>
      <c r="EM9" s="3"/>
      <c r="EN9" s="3"/>
      <c r="EO9" s="3"/>
      <c r="EP9" s="3"/>
      <c r="EQ9" s="3"/>
      <c r="ER9" s="3"/>
      <c r="ES9" s="3"/>
      <c r="ET9" s="3"/>
      <c r="EU9" s="3"/>
      <c r="EV9" s="3"/>
      <c r="EW9" s="3"/>
      <c r="EX9" s="3"/>
      <c r="EY9" s="3"/>
      <c r="EZ9" s="3"/>
      <c r="FA9" s="3"/>
      <c r="FB9" s="3"/>
      <c r="FC9" s="3"/>
      <c r="FD9" s="3"/>
      <c r="FE9" s="3"/>
      <c r="FF9" s="3"/>
      <c r="FG9" s="3"/>
      <c r="FH9" s="3"/>
      <c r="FI9" s="3"/>
      <c r="FJ9" s="3"/>
      <c r="FK9" s="3"/>
      <c r="FL9" s="3"/>
      <c r="FM9" s="3"/>
      <c r="FN9" s="3"/>
      <c r="FO9" s="3"/>
      <c r="FP9" s="3"/>
      <c r="FQ9" s="3"/>
      <c r="FR9" s="3"/>
      <c r="FS9" s="3"/>
      <c r="FT9" s="3"/>
      <c r="FU9" s="3"/>
      <c r="FV9" s="3"/>
      <c r="FW9" s="3"/>
      <c r="FX9" s="3"/>
      <c r="FY9" s="3"/>
      <c r="FZ9" s="3"/>
      <c r="GA9" s="3"/>
      <c r="GB9" s="3"/>
      <c r="GC9" s="3"/>
      <c r="GD9" s="3"/>
      <c r="GE9" s="3"/>
      <c r="GF9" s="3"/>
      <c r="GG9" s="3"/>
      <c r="GH9" s="3"/>
      <c r="GI9" s="3"/>
      <c r="GJ9" s="3"/>
      <c r="GK9" s="3"/>
      <c r="GL9" s="3"/>
      <c r="GM9" s="3"/>
      <c r="GN9" s="3"/>
      <c r="GO9" s="3"/>
      <c r="GP9" s="3"/>
      <c r="GQ9" s="3"/>
      <c r="GR9" s="3"/>
      <c r="GS9" s="3"/>
      <c r="GT9" s="3"/>
      <c r="GU9" s="3"/>
      <c r="GV9" s="3"/>
      <c r="GW9" s="3"/>
      <c r="GX9" s="3"/>
      <c r="GY9" s="3"/>
      <c r="GZ9" s="3"/>
      <c r="HA9" s="3"/>
      <c r="HB9" s="3"/>
      <c r="HC9" s="3"/>
      <c r="HD9" s="3"/>
      <c r="HE9" s="3"/>
      <c r="HF9" s="3"/>
      <c r="HG9" s="3"/>
      <c r="HH9" s="3"/>
      <c r="HI9" s="3"/>
      <c r="HJ9" s="3"/>
      <c r="HK9" s="3"/>
      <c r="HL9" s="3"/>
      <c r="HM9" s="3"/>
      <c r="HN9" s="3"/>
      <c r="HO9" s="3"/>
      <c r="HP9" s="3"/>
    </row>
    <row r="10" spans="1:224" x14ac:dyDescent="0.25">
      <c r="A10" s="158" t="s">
        <v>121</v>
      </c>
      <c r="B10" s="10"/>
      <c r="C10" s="10">
        <v>1</v>
      </c>
      <c r="D10" s="76"/>
      <c r="E10" s="79">
        <v>0.16470006880460814</v>
      </c>
      <c r="F10" s="80"/>
      <c r="G10" s="7">
        <v>0.47114697998594263</v>
      </c>
      <c r="H10" s="7">
        <v>0.55513405492402534</v>
      </c>
      <c r="I10" s="7">
        <v>-8.3987074938082745E-2</v>
      </c>
      <c r="J10" s="7">
        <v>7.1945530322261881E-3</v>
      </c>
      <c r="K10" s="7"/>
      <c r="L10" s="7"/>
      <c r="M10" s="7"/>
      <c r="N10" s="7"/>
      <c r="O10" s="79">
        <v>0.31956056493105406</v>
      </c>
      <c r="P10" s="7">
        <v>-1.6601445891641212E-2</v>
      </c>
      <c r="Q10" s="7">
        <v>0.21033644115403521</v>
      </c>
      <c r="R10" s="7"/>
      <c r="S10" s="7"/>
      <c r="T10" s="80"/>
      <c r="U10" s="6">
        <v>0.27954728489026864</v>
      </c>
      <c r="V10" s="6">
        <v>5.3735200317796078E-2</v>
      </c>
      <c r="W10" s="90">
        <f>IF(ISERR(X10*$AC$1/375),"",(X10*$AC$1/375))</f>
        <v>6.5828558750341812E-2</v>
      </c>
      <c r="X10" s="15">
        <f>IF(ISERR(((($AC$1)^2)*0.002558)*E10*$F$1),"",(((($AC$1)^2)*0.002558)*E10*$F$1))</f>
        <v>0.98742838125512722</v>
      </c>
      <c r="Y10" s="15"/>
      <c r="Z10" s="91"/>
      <c r="AA10" s="90">
        <f t="shared" ref="AA10:AD13" si="8">IF(ISERR(((($AC$1)^2)*0.002558)*G10*$F$1),"",(((($AC$1)^2)*0.002558)*G10*$F$1))</f>
        <v>2.8246733784469713</v>
      </c>
      <c r="AB10" s="15">
        <f t="shared" si="8"/>
        <v>3.3282021386616956</v>
      </c>
      <c r="AC10" s="15">
        <f t="shared" si="8"/>
        <v>-0.50352876021472415</v>
      </c>
      <c r="AD10" s="15">
        <f t="shared" si="8"/>
        <v>4.313359372601857E-2</v>
      </c>
      <c r="AE10" s="15"/>
      <c r="AF10" s="15"/>
      <c r="AG10" s="15"/>
      <c r="AH10" s="91"/>
      <c r="AI10" s="96">
        <f>IF(ISERR(AA10/X10),"",(AA10/X10))</f>
        <v>2.8606362061990853</v>
      </c>
      <c r="AJ10" s="36">
        <f>IF(ISERR(AB10/AA10),"",(AB10/AA10))</f>
        <v>1.1782608793132636</v>
      </c>
      <c r="AK10" s="139">
        <f>IF((ISERROR((Coeff!AB10+TestInfoPage!$B$6)/(Coeff!AA10+TestInfoPage!$B$5))),"",((Coeff!AB10+TestInfoPage!$B$6)/(Coeff!AA10+TestInfoPage!$B$5)))</f>
        <v>1.1782608793132636</v>
      </c>
      <c r="AL10" s="96"/>
      <c r="AM10" s="36"/>
      <c r="AN10" s="142"/>
      <c r="AO10" s="79">
        <f t="shared" si="2"/>
        <v>6.9650812375137705E-2</v>
      </c>
      <c r="AP10" s="4">
        <v>9.6734805858255349E-2</v>
      </c>
      <c r="AQ10" s="4" t="s">
        <v>119</v>
      </c>
      <c r="AR10" s="4" t="s">
        <v>119</v>
      </c>
      <c r="AS10" s="4">
        <v>4.2566818892020047E-2</v>
      </c>
      <c r="AT10" s="7"/>
      <c r="AU10" s="7"/>
      <c r="AV10" s="7"/>
      <c r="AW10" s="80"/>
      <c r="AX10" s="81" t="s">
        <v>119</v>
      </c>
      <c r="AY10" s="4" t="s">
        <v>119</v>
      </c>
      <c r="AZ10" s="15"/>
      <c r="BA10" s="91"/>
      <c r="BB10" s="162">
        <v>-5.7590727384593969E-2</v>
      </c>
      <c r="BC10" s="128">
        <v>-9.2107274025503338E-2</v>
      </c>
      <c r="BD10" s="128">
        <v>-0.10227002743551122</v>
      </c>
      <c r="BE10" s="128">
        <v>-0.124957372109823</v>
      </c>
      <c r="BF10" s="128">
        <v>-7.5296901315904913E-2</v>
      </c>
      <c r="BG10" s="128">
        <v>-0.15785992867930657</v>
      </c>
      <c r="BH10" s="128">
        <v>-1.7045254710097851E-3</v>
      </c>
      <c r="BI10" s="128">
        <v>-7.9444708258895255E-2</v>
      </c>
      <c r="BJ10" s="128">
        <v>-0.11422037620561951</v>
      </c>
      <c r="BK10" s="128">
        <v>-0.10576066464699815</v>
      </c>
      <c r="BL10" s="128">
        <v>-0.11985600072698734</v>
      </c>
      <c r="BM10" s="128">
        <v>-8.3605329476883899E-2</v>
      </c>
      <c r="BN10" s="128">
        <v>-0.10570988128591917</v>
      </c>
      <c r="BO10" s="128">
        <v>-9.4717043750357097E-2</v>
      </c>
      <c r="BP10" s="128">
        <v>-0.12089019731570046</v>
      </c>
      <c r="BQ10" s="128">
        <v>-6.5020999758784045E-2</v>
      </c>
      <c r="BR10" s="128">
        <v>-9.4717552285969051E-2</v>
      </c>
      <c r="BS10" s="129">
        <v>-0.16319744637678851</v>
      </c>
      <c r="BT10" s="107"/>
      <c r="BU10" s="100"/>
      <c r="BV10" s="100"/>
      <c r="BW10" s="100"/>
      <c r="BX10" s="100"/>
      <c r="BY10" s="100"/>
      <c r="BZ10" s="100"/>
      <c r="CA10" s="100"/>
      <c r="CB10" s="100"/>
      <c r="CC10" s="100"/>
      <c r="CD10" s="100"/>
      <c r="CE10" s="100"/>
      <c r="CF10" s="100"/>
      <c r="CG10" s="100"/>
      <c r="CH10" s="100"/>
      <c r="CI10" s="100"/>
      <c r="CJ10" s="100"/>
      <c r="CK10" s="108"/>
      <c r="CL10" s="1"/>
      <c r="DI10" s="3"/>
      <c r="DJ10" s="3"/>
      <c r="DK10" s="3"/>
      <c r="DL10" s="3"/>
      <c r="DM10" s="3"/>
      <c r="DN10" s="3"/>
      <c r="DO10" s="3"/>
      <c r="DP10" s="3"/>
      <c r="DQ10" s="3"/>
      <c r="DR10" s="3"/>
      <c r="DS10" s="3"/>
      <c r="DT10" s="3"/>
      <c r="DU10" s="3"/>
      <c r="DV10" s="3"/>
      <c r="DW10" s="3"/>
      <c r="DX10" s="3"/>
      <c r="DY10" s="3"/>
      <c r="DZ10" s="3"/>
      <c r="EA10" s="3"/>
      <c r="EB10" s="3"/>
      <c r="EC10" s="3"/>
      <c r="ED10" s="3"/>
      <c r="EE10" s="3"/>
      <c r="EF10" s="3"/>
      <c r="EG10" s="3"/>
      <c r="EH10" s="3"/>
      <c r="EI10" s="3"/>
      <c r="EJ10" s="3"/>
      <c r="EK10" s="3"/>
      <c r="EL10" s="3"/>
      <c r="EM10" s="3"/>
      <c r="EN10" s="3"/>
      <c r="EO10" s="3"/>
      <c r="EP10" s="3"/>
      <c r="EQ10" s="3"/>
      <c r="ER10" s="3"/>
      <c r="ES10" s="3"/>
      <c r="ET10" s="3"/>
      <c r="EU10" s="3"/>
      <c r="EV10" s="3"/>
      <c r="EW10" s="3"/>
      <c r="EX10" s="3"/>
      <c r="EY10" s="3"/>
      <c r="EZ10" s="3"/>
      <c r="FA10" s="3"/>
      <c r="FB10" s="3"/>
      <c r="FC10" s="3"/>
      <c r="FD10" s="3"/>
      <c r="FE10" s="3"/>
      <c r="FF10" s="3"/>
      <c r="FG10" s="3"/>
      <c r="FH10" s="3"/>
      <c r="FI10" s="3"/>
      <c r="FJ10" s="3"/>
      <c r="FK10" s="3"/>
      <c r="FL10" s="3"/>
      <c r="FM10" s="3"/>
      <c r="FN10" s="3"/>
      <c r="FO10" s="3"/>
      <c r="FP10" s="3"/>
      <c r="FQ10" s="3"/>
      <c r="FR10" s="3"/>
      <c r="FS10" s="3"/>
      <c r="FT10" s="3"/>
      <c r="FU10" s="3"/>
      <c r="FV10" s="3"/>
      <c r="FW10" s="3"/>
      <c r="FX10" s="3"/>
      <c r="FY10" s="3"/>
      <c r="FZ10" s="3"/>
      <c r="GA10" s="3"/>
      <c r="GB10" s="3"/>
      <c r="GC10" s="3"/>
      <c r="GD10" s="3"/>
      <c r="GE10" s="3"/>
      <c r="GF10" s="3"/>
      <c r="GG10" s="3"/>
      <c r="GH10" s="3"/>
      <c r="GI10" s="3"/>
      <c r="GJ10" s="3"/>
      <c r="GK10" s="3"/>
      <c r="GL10" s="3"/>
      <c r="GM10" s="3"/>
      <c r="GN10" s="3"/>
      <c r="GO10" s="3"/>
      <c r="GP10" s="3"/>
      <c r="GQ10" s="3"/>
      <c r="GR10" s="3"/>
      <c r="GS10" s="3"/>
      <c r="GT10" s="3"/>
      <c r="GU10" s="3"/>
      <c r="GV10" s="3"/>
      <c r="GW10" s="3"/>
      <c r="GX10" s="3"/>
      <c r="GY10" s="3"/>
      <c r="GZ10" s="3"/>
      <c r="HA10" s="3"/>
      <c r="HB10" s="3"/>
      <c r="HC10" s="3"/>
      <c r="HD10" s="3"/>
      <c r="HE10" s="3"/>
      <c r="HF10" s="3"/>
      <c r="HG10" s="3"/>
      <c r="HH10" s="3"/>
      <c r="HI10" s="3"/>
      <c r="HJ10" s="3"/>
      <c r="HK10" s="3"/>
      <c r="HL10" s="3"/>
      <c r="HM10" s="3"/>
      <c r="HN10" s="3"/>
      <c r="HO10" s="3"/>
      <c r="HP10" s="3"/>
    </row>
    <row r="11" spans="1:224" x14ac:dyDescent="0.25">
      <c r="A11" s="158" t="s">
        <v>122</v>
      </c>
      <c r="B11" s="10"/>
      <c r="C11" s="10">
        <v>2</v>
      </c>
      <c r="D11" s="76"/>
      <c r="E11" s="81">
        <v>0.16398628498992501</v>
      </c>
      <c r="F11" s="80"/>
      <c r="G11" s="4">
        <v>0.25943945216684539</v>
      </c>
      <c r="H11" s="4">
        <v>0.30593364055395028</v>
      </c>
      <c r="I11" s="4">
        <v>-4.6494188387104896E-2</v>
      </c>
      <c r="J11" s="4">
        <v>2.4559664288564327E-2</v>
      </c>
      <c r="K11" s="7"/>
      <c r="L11" s="7"/>
      <c r="M11" s="7"/>
      <c r="N11" s="7"/>
      <c r="O11" s="81">
        <v>0.17621391447052759</v>
      </c>
      <c r="P11" s="4">
        <v>-3.3596105229891912E-2</v>
      </c>
      <c r="Q11" s="4">
        <v>-1.7771218973698596E-2</v>
      </c>
      <c r="R11" s="7"/>
      <c r="S11" s="7"/>
      <c r="T11" s="80"/>
      <c r="U11" s="6">
        <v>0.79240737389074689</v>
      </c>
      <c r="V11" s="6">
        <v>0.15231830631455467</v>
      </c>
      <c r="W11" s="90">
        <f>IF(ISERR(X11*$AC$1/375),"",(X11*$AC$1/375))</f>
        <v>6.5543268281910649E-2</v>
      </c>
      <c r="X11" s="15">
        <f>IF(ISERR(((($AC$1)^2)*0.002558)*E11*$F$1),"",(((($AC$1)^2)*0.002558)*E11*$F$1))</f>
        <v>0.9831490242286598</v>
      </c>
      <c r="Y11" s="15"/>
      <c r="Z11" s="91"/>
      <c r="AA11" s="90">
        <f t="shared" si="8"/>
        <v>1.5554205905690401</v>
      </c>
      <c r="AB11" s="15">
        <f t="shared" si="8"/>
        <v>1.8341677793836049</v>
      </c>
      <c r="AC11" s="15">
        <f t="shared" si="8"/>
        <v>-0.27874718881456478</v>
      </c>
      <c r="AD11" s="15">
        <f t="shared" si="8"/>
        <v>0.14724286230503331</v>
      </c>
      <c r="AE11" s="15"/>
      <c r="AF11" s="15"/>
      <c r="AG11" s="15"/>
      <c r="AH11" s="91"/>
      <c r="AI11" s="96">
        <f>IF(ISERR(AA11/X11),"",(AA11/X11))</f>
        <v>1.5820801854422448</v>
      </c>
      <c r="AJ11" s="97">
        <f>IF(ISERR(AB11/AA11),"",(AB11/AA11))</f>
        <v>1.1792101702296398</v>
      </c>
      <c r="AK11" s="139">
        <f>IF((ISERROR((Coeff!AB11+TestInfoPage!$B$6)/(Coeff!AA11+TestInfoPage!$B$5))),"",((Coeff!AB11+TestInfoPage!$B$6)/(Coeff!AA11+TestInfoPage!$B$5)))</f>
        <v>1.1792101702296398</v>
      </c>
      <c r="AL11" s="96"/>
      <c r="AM11" s="36"/>
      <c r="AN11" s="142"/>
      <c r="AO11" s="79">
        <f t="shared" si="2"/>
        <v>4.0148157136673433E-2</v>
      </c>
      <c r="AP11" s="4">
        <v>5.9943896878562934E-2</v>
      </c>
      <c r="AQ11" s="4" t="s">
        <v>119</v>
      </c>
      <c r="AR11" s="4">
        <v>2.9525044904398782E-2</v>
      </c>
      <c r="AS11" s="4">
        <v>3.097552962705858E-2</v>
      </c>
      <c r="AT11" s="7"/>
      <c r="AU11" s="7"/>
      <c r="AV11" s="7"/>
      <c r="AW11" s="80"/>
      <c r="AX11" s="81">
        <v>2.6390294841041224E-2</v>
      </c>
      <c r="AY11" s="4">
        <v>5.7585672270078866E-2</v>
      </c>
      <c r="AZ11" s="15"/>
      <c r="BA11" s="91"/>
      <c r="BB11" s="79">
        <v>-7.5532423998649775E-2</v>
      </c>
      <c r="BC11" s="7">
        <v>-8.2249613475683908E-2</v>
      </c>
      <c r="BD11" s="7">
        <v>-9.3918588970097111E-2</v>
      </c>
      <c r="BE11" s="7">
        <v>-9.1771159888500542E-2</v>
      </c>
      <c r="BF11" s="7">
        <v>-9.7408077149546302E-2</v>
      </c>
      <c r="BG11" s="7">
        <v>-9.7574612606664238E-2</v>
      </c>
      <c r="BH11" s="7">
        <v>-5.4056704009989465E-2</v>
      </c>
      <c r="BI11" s="7">
        <v>-7.5334506679555518E-2</v>
      </c>
      <c r="BJ11" s="7">
        <v>-9.4114780180893545E-2</v>
      </c>
      <c r="BK11" s="7">
        <v>-8.9390386277623093E-2</v>
      </c>
      <c r="BL11" s="7">
        <v>-0.10656718100705215</v>
      </c>
      <c r="BM11" s="7">
        <v>-0.1005117344369964</v>
      </c>
      <c r="BN11" s="7">
        <v>-9.7974451990511968E-2</v>
      </c>
      <c r="BO11" s="7">
        <v>-9.53380433634375E-2</v>
      </c>
      <c r="BP11" s="7">
        <v>-8.2127370696507898E-2</v>
      </c>
      <c r="BQ11" s="7">
        <v>-9.4634544992191691E-2</v>
      </c>
      <c r="BR11" s="7">
        <v>-9.2116660689880059E-2</v>
      </c>
      <c r="BS11" s="80">
        <v>-0.11998407996171256</v>
      </c>
      <c r="BT11" s="107"/>
      <c r="BU11" s="100"/>
      <c r="BV11" s="100"/>
      <c r="BW11" s="100"/>
      <c r="BX11" s="100"/>
      <c r="BY11" s="100"/>
      <c r="BZ11" s="100"/>
      <c r="CA11" s="100"/>
      <c r="CB11" s="100"/>
      <c r="CC11" s="100"/>
      <c r="CD11" s="100"/>
      <c r="CE11" s="100"/>
      <c r="CF11" s="100"/>
      <c r="CG11" s="100"/>
      <c r="CH11" s="100"/>
      <c r="CI11" s="100"/>
      <c r="CJ11" s="100"/>
      <c r="CK11" s="108"/>
      <c r="CL11" s="1"/>
      <c r="DI11" s="3"/>
      <c r="DJ11" s="3"/>
      <c r="DK11" s="3"/>
      <c r="DL11" s="3"/>
      <c r="DM11" s="3"/>
      <c r="DN11" s="3"/>
      <c r="DO11" s="3"/>
      <c r="DP11" s="3"/>
      <c r="DQ11" s="3"/>
      <c r="DR11" s="3"/>
      <c r="DS11" s="3"/>
      <c r="DT11" s="3"/>
      <c r="DU11" s="3"/>
      <c r="DV11" s="3"/>
      <c r="DW11" s="3"/>
      <c r="DX11" s="3"/>
      <c r="DY11" s="3"/>
      <c r="DZ11" s="3"/>
      <c r="EA11" s="3"/>
      <c r="EB11" s="3"/>
      <c r="EC11" s="3"/>
      <c r="ED11" s="3"/>
      <c r="EE11" s="3"/>
      <c r="EF11" s="3"/>
      <c r="EG11" s="3"/>
      <c r="EH11" s="3"/>
      <c r="EI11" s="3"/>
      <c r="EJ11" s="3"/>
      <c r="EK11" s="3"/>
      <c r="EL11" s="3"/>
      <c r="EM11" s="3"/>
      <c r="EN11" s="3"/>
      <c r="EO11" s="3"/>
      <c r="EP11" s="3"/>
      <c r="EQ11" s="3"/>
      <c r="ER11" s="3"/>
      <c r="ES11" s="3"/>
      <c r="ET11" s="3"/>
      <c r="EU11" s="3"/>
      <c r="EV11" s="3"/>
      <c r="EW11" s="3"/>
      <c r="EX11" s="3"/>
      <c r="EY11" s="3"/>
      <c r="EZ11" s="3"/>
      <c r="FA11" s="3"/>
      <c r="FB11" s="3"/>
      <c r="FC11" s="3"/>
      <c r="FD11" s="3"/>
      <c r="FE11" s="3"/>
      <c r="FF11" s="3"/>
      <c r="FG11" s="3"/>
      <c r="FH11" s="3"/>
      <c r="FI11" s="3"/>
      <c r="FJ11" s="3"/>
      <c r="FK11" s="3"/>
      <c r="FL11" s="3"/>
      <c r="FM11" s="3"/>
      <c r="FN11" s="3"/>
      <c r="FO11" s="3"/>
      <c r="FP11" s="3"/>
      <c r="FQ11" s="3"/>
      <c r="FR11" s="3"/>
      <c r="FS11" s="3"/>
      <c r="FT11" s="3"/>
      <c r="FU11" s="3"/>
      <c r="FV11" s="3"/>
      <c r="FW11" s="3"/>
      <c r="FX11" s="3"/>
      <c r="FY11" s="3"/>
      <c r="FZ11" s="3"/>
      <c r="GA11" s="3"/>
      <c r="GB11" s="3"/>
      <c r="GC11" s="3"/>
      <c r="GD11" s="3"/>
      <c r="GE11" s="3"/>
      <c r="GF11" s="3"/>
      <c r="GG11" s="3"/>
      <c r="GH11" s="3"/>
      <c r="GI11" s="3"/>
      <c r="GJ11" s="3"/>
      <c r="GK11" s="3"/>
      <c r="GL11" s="3"/>
      <c r="GM11" s="3"/>
      <c r="GN11" s="3"/>
      <c r="GO11" s="3"/>
      <c r="GP11" s="3"/>
      <c r="GQ11" s="3"/>
      <c r="GR11" s="3"/>
      <c r="GS11" s="3"/>
      <c r="GT11" s="3"/>
      <c r="GU11" s="3"/>
      <c r="GV11" s="3"/>
      <c r="GW11" s="3"/>
      <c r="GX11" s="3"/>
      <c r="GY11" s="3"/>
      <c r="GZ11" s="3"/>
      <c r="HA11" s="3"/>
      <c r="HB11" s="3"/>
      <c r="HC11" s="3"/>
      <c r="HD11" s="3"/>
      <c r="HE11" s="3"/>
      <c r="HF11" s="3"/>
      <c r="HG11" s="3"/>
      <c r="HH11" s="3"/>
      <c r="HI11" s="3"/>
      <c r="HJ11" s="3"/>
      <c r="HK11" s="3"/>
      <c r="HL11" s="3"/>
      <c r="HM11" s="3"/>
      <c r="HN11" s="3"/>
      <c r="HO11" s="3"/>
      <c r="HP11" s="3"/>
    </row>
    <row r="12" spans="1:224" ht="13.5" customHeight="1" x14ac:dyDescent="0.25">
      <c r="A12" s="158" t="s">
        <v>123</v>
      </c>
      <c r="B12" s="10"/>
      <c r="C12" s="10">
        <v>3</v>
      </c>
      <c r="D12" s="76"/>
      <c r="E12" s="81">
        <v>0.15953559002419285</v>
      </c>
      <c r="F12" s="80"/>
      <c r="G12" s="4">
        <v>0.32802204144175007</v>
      </c>
      <c r="H12" s="4">
        <v>0.40828699614425884</v>
      </c>
      <c r="I12" s="4">
        <v>-8.0264954702508773E-2</v>
      </c>
      <c r="J12" s="4">
        <v>2.743594887239352E-2</v>
      </c>
      <c r="K12" s="7"/>
      <c r="L12" s="7"/>
      <c r="M12" s="7"/>
      <c r="N12" s="7"/>
      <c r="O12" s="81">
        <v>0.24427597542338381</v>
      </c>
      <c r="P12" s="4">
        <v>-9.0123804028782867E-3</v>
      </c>
      <c r="Q12" s="4">
        <v>1.2110121872292556E-2</v>
      </c>
      <c r="R12" s="7"/>
      <c r="S12" s="7"/>
      <c r="T12" s="80"/>
      <c r="U12" s="6">
        <v>1.7675737664301434</v>
      </c>
      <c r="V12" s="6">
        <v>0.33976695732490536</v>
      </c>
      <c r="W12" s="90">
        <f>IF(ISERR(X12*$AC$1/375),"",(X12*$AC$1/375))</f>
        <v>6.3764381137794576E-2</v>
      </c>
      <c r="X12" s="15">
        <f>IF(ISERR(((($AC$1)^2)*0.002558)*E12*$F$1),"",(((($AC$1)^2)*0.002558)*E12*$F$1))</f>
        <v>0.95646571706691863</v>
      </c>
      <c r="Y12" s="15"/>
      <c r="Z12" s="91"/>
      <c r="AA12" s="90">
        <f t="shared" si="8"/>
        <v>1.9665946453312422</v>
      </c>
      <c r="AB12" s="15">
        <f t="shared" si="8"/>
        <v>2.4478081315711266</v>
      </c>
      <c r="AC12" s="15">
        <f t="shared" si="8"/>
        <v>-0.48121348623988458</v>
      </c>
      <c r="AD12" s="15">
        <f t="shared" si="8"/>
        <v>0.16448708722402178</v>
      </c>
      <c r="AE12" s="15"/>
      <c r="AF12" s="15"/>
      <c r="AG12" s="15"/>
      <c r="AH12" s="91"/>
      <c r="AI12" s="96">
        <f>IF(ISERR(AA12/X12),"",(AA12/X12))</f>
        <v>2.0561057340998774</v>
      </c>
      <c r="AJ12" s="97">
        <f>IF(ISERR(AB12/AA12),"",(AB12/AA12))</f>
        <v>1.2446937844472934</v>
      </c>
      <c r="AK12" s="139">
        <f>IF((ISERROR((Coeff!AB12+TestInfoPage!$B$6)/(Coeff!AA12+TestInfoPage!$B$5))),"",((Coeff!AB12+TestInfoPage!$B$6)/(Coeff!AA12+TestInfoPage!$B$5)))</f>
        <v>1.2446937844472934</v>
      </c>
      <c r="AL12" s="96"/>
      <c r="AM12" s="36"/>
      <c r="AN12" s="142"/>
      <c r="AO12" s="79">
        <f t="shared" si="2"/>
        <v>3.4997564657715856E-2</v>
      </c>
      <c r="AP12" s="4">
        <v>5.2369439559680507E-2</v>
      </c>
      <c r="AQ12" s="4" t="s">
        <v>119</v>
      </c>
      <c r="AR12" s="4">
        <v>1.7625689755751208E-2</v>
      </c>
      <c r="AS12" s="4" t="s">
        <v>119</v>
      </c>
      <c r="AT12" s="7"/>
      <c r="AU12" s="7"/>
      <c r="AV12" s="7"/>
      <c r="AW12" s="80"/>
      <c r="AX12" s="81" t="s">
        <v>119</v>
      </c>
      <c r="AY12" s="4">
        <v>2.2062734312362147E-2</v>
      </c>
      <c r="AZ12" s="15"/>
      <c r="BA12" s="91"/>
      <c r="BB12" s="79">
        <v>-8.5406754692367082E-2</v>
      </c>
      <c r="BC12" s="7">
        <v>-8.2340478377184528E-2</v>
      </c>
      <c r="BD12" s="7">
        <v>-8.5017145312732065E-2</v>
      </c>
      <c r="BE12" s="7">
        <v>-8.476972026451525E-2</v>
      </c>
      <c r="BF12" s="7">
        <v>-8.0371708642016204E-2</v>
      </c>
      <c r="BG12" s="7">
        <v>-8.5757369503570352E-2</v>
      </c>
      <c r="BH12" s="7">
        <v>-6.8232123657784777E-2</v>
      </c>
      <c r="BI12" s="7">
        <v>-8.087571748691795E-2</v>
      </c>
      <c r="BJ12" s="7">
        <v>-8.6981710604887505E-2</v>
      </c>
      <c r="BK12" s="7">
        <v>-8.8686745207297066E-2</v>
      </c>
      <c r="BL12" s="7">
        <v>-9.2697409664105446E-2</v>
      </c>
      <c r="BM12" s="7">
        <v>-8.3203738799791177E-2</v>
      </c>
      <c r="BN12" s="7">
        <v>-8.8135215215870505E-2</v>
      </c>
      <c r="BO12" s="7">
        <v>-9.3615255986507398E-2</v>
      </c>
      <c r="BP12" s="7">
        <v>-8.6918296830378716E-2</v>
      </c>
      <c r="BQ12" s="7">
        <v>-8.5288035970610132E-2</v>
      </c>
      <c r="BR12" s="7">
        <v>-8.7845676394949501E-2</v>
      </c>
      <c r="BS12" s="80">
        <v>-7.7628540987719125E-2</v>
      </c>
      <c r="BT12" s="107"/>
      <c r="BU12" s="100"/>
      <c r="BV12" s="100"/>
      <c r="BW12" s="100"/>
      <c r="BX12" s="100"/>
      <c r="BY12" s="100"/>
      <c r="BZ12" s="100"/>
      <c r="CA12" s="100"/>
      <c r="CB12" s="100"/>
      <c r="CC12" s="100"/>
      <c r="CD12" s="100"/>
      <c r="CE12" s="100"/>
      <c r="CF12" s="100"/>
      <c r="CG12" s="100"/>
      <c r="CH12" s="100"/>
      <c r="CI12" s="100"/>
      <c r="CJ12" s="100"/>
      <c r="CK12" s="108"/>
      <c r="CL12" s="1"/>
      <c r="DI12" s="3"/>
      <c r="DJ12" s="3"/>
      <c r="DK12" s="3"/>
      <c r="DL12" s="3"/>
      <c r="DM12" s="3"/>
      <c r="DN12" s="3"/>
      <c r="DO12" s="3"/>
      <c r="DP12" s="3"/>
      <c r="DQ12" s="3"/>
      <c r="DR12" s="3"/>
      <c r="DS12" s="3"/>
      <c r="DT12" s="3"/>
      <c r="DU12" s="3"/>
      <c r="DV12" s="3"/>
      <c r="DW12" s="3"/>
      <c r="DX12" s="3"/>
      <c r="DY12" s="3"/>
      <c r="DZ12" s="3"/>
      <c r="EA12" s="3"/>
      <c r="EB12" s="3"/>
      <c r="EC12" s="3"/>
      <c r="ED12" s="3"/>
      <c r="EE12" s="3"/>
      <c r="EF12" s="3"/>
      <c r="EG12" s="3"/>
      <c r="EH12" s="3"/>
      <c r="EI12" s="3"/>
      <c r="EJ12" s="3"/>
      <c r="EK12" s="3"/>
      <c r="EL12" s="3"/>
      <c r="EM12" s="3"/>
      <c r="EN12" s="3"/>
      <c r="EO12" s="3"/>
      <c r="EP12" s="3"/>
      <c r="EQ12" s="3"/>
      <c r="ER12" s="3"/>
      <c r="ES12" s="3"/>
      <c r="ET12" s="3"/>
      <c r="EU12" s="3"/>
      <c r="EV12" s="3"/>
      <c r="EW12" s="3"/>
      <c r="EX12" s="3"/>
      <c r="EY12" s="3"/>
      <c r="EZ12" s="3"/>
      <c r="FA12" s="3"/>
      <c r="FB12" s="3"/>
      <c r="FC12" s="3"/>
      <c r="FD12" s="3"/>
      <c r="FE12" s="3"/>
      <c r="FF12" s="3"/>
      <c r="FG12" s="3"/>
      <c r="FH12" s="3"/>
      <c r="FI12" s="3"/>
      <c r="FJ12" s="3"/>
      <c r="FK12" s="3"/>
      <c r="FL12" s="3"/>
      <c r="FM12" s="3"/>
      <c r="FN12" s="3"/>
      <c r="FO12" s="3"/>
      <c r="FP12" s="3"/>
      <c r="FQ12" s="3"/>
      <c r="FR12" s="3"/>
      <c r="FS12" s="3"/>
      <c r="FT12" s="3"/>
      <c r="FU12" s="3"/>
      <c r="FV12" s="3"/>
      <c r="FW12" s="3"/>
      <c r="FX12" s="3"/>
      <c r="FY12" s="3"/>
      <c r="FZ12" s="3"/>
      <c r="GA12" s="3"/>
      <c r="GB12" s="3"/>
      <c r="GC12" s="3"/>
      <c r="GD12" s="3"/>
      <c r="GE12" s="3"/>
      <c r="GF12" s="3"/>
      <c r="GG12" s="3"/>
      <c r="GH12" s="3"/>
      <c r="GI12" s="3"/>
      <c r="GJ12" s="3"/>
      <c r="GK12" s="3"/>
      <c r="GL12" s="3"/>
      <c r="GM12" s="3"/>
      <c r="GN12" s="3"/>
      <c r="GO12" s="3"/>
      <c r="GP12" s="3"/>
      <c r="GQ12" s="3"/>
      <c r="GR12" s="3"/>
      <c r="GS12" s="3"/>
      <c r="GT12" s="3"/>
      <c r="GU12" s="3"/>
      <c r="GV12" s="3"/>
      <c r="GW12" s="3"/>
      <c r="GX12" s="3"/>
      <c r="GY12" s="3"/>
      <c r="GZ12" s="3"/>
      <c r="HA12" s="3"/>
      <c r="HB12" s="3"/>
      <c r="HC12" s="3"/>
      <c r="HD12" s="3"/>
      <c r="HE12" s="3"/>
      <c r="HF12" s="3"/>
      <c r="HG12" s="3"/>
      <c r="HH12" s="3"/>
      <c r="HI12" s="3"/>
      <c r="HJ12" s="3"/>
      <c r="HK12" s="3"/>
      <c r="HL12" s="3"/>
      <c r="HM12" s="3"/>
      <c r="HN12" s="3"/>
      <c r="HO12" s="3"/>
      <c r="HP12" s="3"/>
    </row>
    <row r="13" spans="1:224" ht="13.5" customHeight="1" thickBot="1" x14ac:dyDescent="0.3">
      <c r="A13" s="158" t="s">
        <v>124</v>
      </c>
      <c r="B13" s="10"/>
      <c r="C13" s="10">
        <v>4</v>
      </c>
      <c r="D13" s="76"/>
      <c r="E13" s="81">
        <v>0.15845570028506192</v>
      </c>
      <c r="F13" s="80"/>
      <c r="G13" s="4">
        <v>0.37474121502337288</v>
      </c>
      <c r="H13" s="4">
        <v>0.39537777067821317</v>
      </c>
      <c r="I13" s="4">
        <v>-2.0636555654840294E-2</v>
      </c>
      <c r="J13" s="4">
        <v>-1.4497648386359164E-3</v>
      </c>
      <c r="K13" s="7"/>
      <c r="L13" s="7"/>
      <c r="M13" s="7"/>
      <c r="N13" s="7"/>
      <c r="O13" s="81">
        <v>0.20800716316652673</v>
      </c>
      <c r="P13" s="4">
        <v>-1.0151506022548275E-2</v>
      </c>
      <c r="Q13" s="4">
        <v>1.7071258251794091E-2</v>
      </c>
      <c r="R13" s="7"/>
      <c r="S13" s="7"/>
      <c r="T13" s="80"/>
      <c r="U13" s="6">
        <v>2.9019284266111884</v>
      </c>
      <c r="V13" s="6">
        <v>0.55781513089303958</v>
      </c>
      <c r="W13" s="90">
        <f>IF(ISERR(X13*$AC$1/375),"",(X13*$AC$1/375))</f>
        <v>6.3332762707685689E-2</v>
      </c>
      <c r="X13" s="15">
        <f>IF(ISERR(((($AC$1)^2)*0.002558)*E13*$F$1),"",(((($AC$1)^2)*0.002558)*E13*$F$1))</f>
        <v>0.94999144061528529</v>
      </c>
      <c r="Y13" s="15"/>
      <c r="Z13" s="91"/>
      <c r="AA13" s="90">
        <f t="shared" si="8"/>
        <v>2.2466906906948148</v>
      </c>
      <c r="AB13" s="15">
        <f t="shared" si="8"/>
        <v>2.3704132907692248</v>
      </c>
      <c r="AC13" s="15">
        <f t="shared" si="8"/>
        <v>-0.12372260007440969</v>
      </c>
      <c r="AD13" s="15">
        <f t="shared" si="8"/>
        <v>-8.6917932591343925E-3</v>
      </c>
      <c r="AE13" s="15"/>
      <c r="AF13" s="15"/>
      <c r="AG13" s="15"/>
      <c r="AH13" s="91"/>
      <c r="AI13" s="96">
        <f>IF(ISERR(AA13/X13),"",(AA13/X13))</f>
        <v>2.3649588771449248</v>
      </c>
      <c r="AJ13" s="97">
        <f>IF(ISERR(AB13/AA13),"",(AB13/AA13))</f>
        <v>1.0550688177001113</v>
      </c>
      <c r="AK13" s="139">
        <f>IF((ISERROR((Coeff!AB13+TestInfoPage!$B$6)/(Coeff!AA13+TestInfoPage!$B$5))),"",((Coeff!AB13+TestInfoPage!$B$6)/(Coeff!AA13+TestInfoPage!$B$5)))</f>
        <v>1.0550688177001113</v>
      </c>
      <c r="AL13" s="96"/>
      <c r="AM13" s="36"/>
      <c r="AN13" s="142"/>
      <c r="AO13" s="79">
        <f t="shared" si="2"/>
        <v>1.9441505092755988E-2</v>
      </c>
      <c r="AP13" s="4">
        <v>2.3222760990540312E-2</v>
      </c>
      <c r="AQ13" s="4">
        <v>1.5660249194971668E-2</v>
      </c>
      <c r="AR13" s="4" t="s">
        <v>119</v>
      </c>
      <c r="AS13" s="4" t="s">
        <v>119</v>
      </c>
      <c r="AT13" s="7"/>
      <c r="AU13" s="7"/>
      <c r="AV13" s="7"/>
      <c r="AW13" s="80"/>
      <c r="AX13" s="81" t="s">
        <v>119</v>
      </c>
      <c r="AY13" s="4">
        <v>1.3715231834495207E-2</v>
      </c>
      <c r="AZ13" s="15"/>
      <c r="BA13" s="91"/>
      <c r="BB13" s="163">
        <v>-7.6907735082584763E-2</v>
      </c>
      <c r="BC13" s="157">
        <v>-8.126838734834356E-2</v>
      </c>
      <c r="BD13" s="157">
        <v>-8.0021530214317182E-2</v>
      </c>
      <c r="BE13" s="157">
        <v>-8.705872750865748E-2</v>
      </c>
      <c r="BF13" s="157">
        <v>-8.181660707051977E-2</v>
      </c>
      <c r="BG13" s="157">
        <v>-8.5769080808859186E-2</v>
      </c>
      <c r="BH13" s="157">
        <v>-7.4810499924893248E-2</v>
      </c>
      <c r="BI13" s="157">
        <v>-7.9028491096273273E-2</v>
      </c>
      <c r="BJ13" s="157">
        <v>-8.2580667059384799E-2</v>
      </c>
      <c r="BK13" s="157">
        <v>-8.3125429078528046E-2</v>
      </c>
      <c r="BL13" s="157">
        <v>-8.4744807206494494E-2</v>
      </c>
      <c r="BM13" s="157">
        <v>-8.3430974732774152E-2</v>
      </c>
      <c r="BN13" s="157">
        <v>-8.1524099612186651E-2</v>
      </c>
      <c r="BO13" s="157">
        <v>-8.8623921745568837E-2</v>
      </c>
      <c r="BP13" s="157">
        <v>-8.001181872153923E-2</v>
      </c>
      <c r="BQ13" s="157">
        <v>-8.5894488746267331E-2</v>
      </c>
      <c r="BR13" s="157">
        <v>-8.4878021291576108E-2</v>
      </c>
      <c r="BS13" s="84">
        <v>-6.9918845530256582E-2</v>
      </c>
      <c r="BT13" s="107"/>
      <c r="BU13" s="100"/>
      <c r="BV13" s="100"/>
      <c r="BW13" s="100"/>
      <c r="BX13" s="100"/>
      <c r="BY13" s="100"/>
      <c r="BZ13" s="100"/>
      <c r="CA13" s="100"/>
      <c r="CB13" s="100"/>
      <c r="CC13" s="100"/>
      <c r="CD13" s="100"/>
      <c r="CE13" s="100"/>
      <c r="CF13" s="100"/>
      <c r="CG13" s="100"/>
      <c r="CH13" s="100"/>
      <c r="CI13" s="100"/>
      <c r="CJ13" s="100"/>
      <c r="CK13" s="108"/>
      <c r="CL13" s="1"/>
      <c r="DI13" s="3"/>
      <c r="DJ13" s="3"/>
      <c r="DK13" s="3"/>
      <c r="DL13" s="3"/>
      <c r="DM13" s="3"/>
      <c r="DN13" s="3"/>
      <c r="DO13" s="3"/>
      <c r="DP13" s="3"/>
      <c r="DQ13" s="3"/>
      <c r="DR13" s="3"/>
      <c r="DS13" s="3"/>
      <c r="DT13" s="3"/>
      <c r="DU13" s="3"/>
      <c r="DV13" s="3"/>
      <c r="DW13" s="3"/>
      <c r="DX13" s="3"/>
      <c r="DY13" s="3"/>
      <c r="DZ13" s="3"/>
      <c r="EA13" s="3"/>
      <c r="EB13" s="3"/>
      <c r="EC13" s="3"/>
      <c r="ED13" s="3"/>
      <c r="EE13" s="3"/>
      <c r="EF13" s="3"/>
      <c r="EG13" s="3"/>
      <c r="EH13" s="3"/>
      <c r="EI13" s="3"/>
      <c r="EJ13" s="3"/>
      <c r="EK13" s="3"/>
      <c r="EL13" s="3"/>
      <c r="EM13" s="3"/>
      <c r="EN13" s="3"/>
      <c r="EO13" s="3"/>
      <c r="EP13" s="3"/>
      <c r="EQ13" s="3"/>
      <c r="ER13" s="3"/>
      <c r="ES13" s="3"/>
      <c r="ET13" s="3"/>
      <c r="EU13" s="3"/>
      <c r="EV13" s="3"/>
      <c r="EW13" s="3"/>
      <c r="EX13" s="3"/>
      <c r="EY13" s="3"/>
      <c r="EZ13" s="3"/>
      <c r="FA13" s="3"/>
      <c r="FB13" s="3"/>
      <c r="FC13" s="3"/>
      <c r="FD13" s="3"/>
      <c r="FE13" s="3"/>
      <c r="FF13" s="3"/>
      <c r="FG13" s="3"/>
      <c r="FH13" s="3"/>
      <c r="FI13" s="3"/>
      <c r="FJ13" s="3"/>
      <c r="FK13" s="3"/>
      <c r="FL13" s="3"/>
      <c r="FM13" s="3"/>
      <c r="FN13" s="3"/>
      <c r="FO13" s="3"/>
      <c r="FP13" s="3"/>
      <c r="FQ13" s="3"/>
      <c r="FR13" s="3"/>
      <c r="FS13" s="3"/>
      <c r="FT13" s="3"/>
      <c r="FU13" s="3"/>
      <c r="FV13" s="3"/>
      <c r="FW13" s="3"/>
      <c r="FX13" s="3"/>
      <c r="FY13" s="3"/>
      <c r="FZ13" s="3"/>
      <c r="GA13" s="3"/>
      <c r="GB13" s="3"/>
      <c r="GC13" s="3"/>
      <c r="GD13" s="3"/>
      <c r="GE13" s="3"/>
      <c r="GF13" s="3"/>
      <c r="GG13" s="3"/>
      <c r="GH13" s="3"/>
      <c r="GI13" s="3"/>
      <c r="GJ13" s="3"/>
      <c r="GK13" s="3"/>
      <c r="GL13" s="3"/>
      <c r="GM13" s="3"/>
      <c r="GN13" s="3"/>
      <c r="GO13" s="3"/>
      <c r="GP13" s="3"/>
      <c r="GQ13" s="3"/>
      <c r="GR13" s="3"/>
      <c r="GS13" s="3"/>
      <c r="GT13" s="3"/>
      <c r="GU13" s="3"/>
      <c r="GV13" s="3"/>
      <c r="GW13" s="3"/>
      <c r="GX13" s="3"/>
      <c r="GY13" s="3"/>
      <c r="GZ13" s="3"/>
      <c r="HA13" s="3"/>
      <c r="HB13" s="3"/>
      <c r="HC13" s="3"/>
      <c r="HD13" s="3"/>
      <c r="HE13" s="3"/>
      <c r="HF13" s="3"/>
      <c r="HG13" s="3"/>
      <c r="HH13" s="3"/>
      <c r="HI13" s="3"/>
      <c r="HJ13" s="3"/>
      <c r="HK13" s="3"/>
      <c r="HL13" s="3"/>
      <c r="HM13" s="3"/>
      <c r="HN13" s="3"/>
      <c r="HO13" s="3"/>
      <c r="HP13" s="3"/>
    </row>
    <row r="14" spans="1:224" ht="14.25" thickBot="1" x14ac:dyDescent="0.3">
      <c r="A14" s="158">
        <v>0</v>
      </c>
      <c r="B14" s="9">
        <f>B9+1</f>
        <v>3</v>
      </c>
      <c r="C14" s="66" t="s">
        <v>56</v>
      </c>
      <c r="D14" s="75"/>
      <c r="E14" s="82">
        <f>IF(ISERR(AVERAGE(E15:E18)),"",AVERAGE(E15:E18))</f>
        <v>0.15490796831731818</v>
      </c>
      <c r="F14" s="78" t="str">
        <f>IF($D14="","",E14-VLOOKUP($D14,$B$4:$BS$990,4,FALSE))</f>
        <v/>
      </c>
      <c r="G14" s="44">
        <f t="shared" ref="G14:Q14" si="9">IF(ISERR(AVERAGE(G15:G18)),"",AVERAGE(G15:G18))</f>
        <v>0.33092718747677458</v>
      </c>
      <c r="H14" s="8">
        <f t="shared" si="9"/>
        <v>0.27030341711673633</v>
      </c>
      <c r="I14" s="8">
        <f t="shared" si="9"/>
        <v>6.0623770360038215E-2</v>
      </c>
      <c r="J14" s="44">
        <f>IF(ISERR(AVERAGE(J15:J18)),"",AVERAGE(J15:J18))</f>
        <v>-3.5932328887723526E-2</v>
      </c>
      <c r="K14" s="56" t="str">
        <f>IF($D14="","",G14-VLOOKUP($D14,$B$4:$BS$990,6,FALSE))</f>
        <v/>
      </c>
      <c r="L14" s="56" t="str">
        <f>IF($D14="","",H14-VLOOKUP($D14,$B$4:$BS$990,7,FALSE))</f>
        <v/>
      </c>
      <c r="M14" s="56" t="str">
        <f>IF($D14="","",I14-VLOOKUP($D14,$B$4:$BS$990,8,FALSE))</f>
        <v/>
      </c>
      <c r="N14" s="74" t="str">
        <f>IF($D14="","",J14-VLOOKUP($D14,$B$4:$BS$990,9,FALSE))</f>
        <v/>
      </c>
      <c r="O14" s="82">
        <f t="shared" si="9"/>
        <v>0.10483982337834907</v>
      </c>
      <c r="P14" s="8">
        <f t="shared" si="9"/>
        <v>2.7653143943927899E-2</v>
      </c>
      <c r="Q14" s="8">
        <f t="shared" si="9"/>
        <v>-7.4863669185741763E-2</v>
      </c>
      <c r="R14" s="56" t="str">
        <f>IF($D14="","",O14-VLOOKUP($D14,$B$4:$BS$990,14,FALSE))</f>
        <v/>
      </c>
      <c r="S14" s="56" t="str">
        <f>IF($D14="","",P14-VLOOKUP($D14,$B$4:$BS$990,15,FALSE))</f>
        <v/>
      </c>
      <c r="T14" s="78" t="str">
        <f>IF($D14="","",Q14-VLOOKUP($D14,$B$4:$BS$990,16,FALSE))</f>
        <v/>
      </c>
      <c r="U14" s="44">
        <f t="shared" ref="U14:AS14" si="10">IF(ISERR(AVERAGE(U15:U18)),"",AVERAGE(U15:U18))</f>
        <v>4.533281177156681</v>
      </c>
      <c r="V14" s="11">
        <f t="shared" si="10"/>
        <v>0.87139738183122883</v>
      </c>
      <c r="W14" s="88">
        <f t="shared" si="10"/>
        <v>6.1914778586828104E-2</v>
      </c>
      <c r="X14" s="32">
        <f t="shared" si="10"/>
        <v>0.92872167880242162</v>
      </c>
      <c r="Y14" s="71" t="str">
        <f>IF($D14="","",W14-VLOOKUP($D14,$B$4:$BS$990,22,FALSE))</f>
        <v/>
      </c>
      <c r="Z14" s="89" t="str">
        <f>IF($D14="","",X14-VLOOKUP($D14,$B$4:$BS$990,23,FALSE))</f>
        <v/>
      </c>
      <c r="AA14" s="88">
        <f t="shared" si="10"/>
        <v>1.98401190366935</v>
      </c>
      <c r="AB14" s="31">
        <f t="shared" si="10"/>
        <v>1.6205534554326833</v>
      </c>
      <c r="AC14" s="31">
        <f t="shared" si="10"/>
        <v>0.36345844823666662</v>
      </c>
      <c r="AD14" s="32">
        <f>IF(ISERR(AVERAGE(AD15:AD18)),"",AVERAGE(AD15:AD18))</f>
        <v>-0.21542554053467994</v>
      </c>
      <c r="AE14" s="71" t="str">
        <f>IF($D14="","",AA14-VLOOKUP($D14,$B$4:$BS$990,26,FALSE))</f>
        <v/>
      </c>
      <c r="AF14" s="71" t="str">
        <f>IF($D14="","",AB14-VLOOKUP($D14,$B$4:$BS$990,27,FALSE))</f>
        <v/>
      </c>
      <c r="AG14" s="92" t="str">
        <f>IF($D14="","",AC14-VLOOKUP($D14,$B$4:$BS$990,28,FALSE))</f>
        <v/>
      </c>
      <c r="AH14" s="89" t="str">
        <f>IF($D14="","",AD14-VLOOKUP($D14,$B$4:$BS$990,29,FALSE))</f>
        <v/>
      </c>
      <c r="AI14" s="95">
        <f t="shared" si="10"/>
        <v>2.1362397519623881</v>
      </c>
      <c r="AJ14" s="35">
        <f t="shared" si="10"/>
        <v>0.81815533660718132</v>
      </c>
      <c r="AK14" s="138">
        <f>IF((ISERROR((Coeff!AB14+TestInfoPage!$B$6)/(Coeff!AA14+TestInfoPage!$B$5))),"",((Coeff!AB14+TestInfoPage!$B$6)/(Coeff!AA14+TestInfoPage!$B$5)))</f>
        <v>0.81680631675421655</v>
      </c>
      <c r="AL14" s="135" t="str">
        <f>IF($D14="","",AI14-VLOOKUP($D14,$B$4:$BS$990,34,FALSE))</f>
        <v/>
      </c>
      <c r="AM14" s="72" t="str">
        <f>IF($D14="","",AJ14-VLOOKUP($D14,$B$4:$BS$990,35,FALSE))</f>
        <v/>
      </c>
      <c r="AN14" s="115" t="str">
        <f>IF($D14="","",AK14-VLOOKUP($D14,$B$4:$BS$990,36,FALSE))</f>
        <v/>
      </c>
      <c r="AO14" s="134">
        <f t="shared" si="2"/>
        <v>1.761044064521957E-2</v>
      </c>
      <c r="AP14" s="44" t="str">
        <f t="shared" si="10"/>
        <v/>
      </c>
      <c r="AQ14" s="8">
        <f t="shared" si="10"/>
        <v>8.4132443494758895E-3</v>
      </c>
      <c r="AR14" s="11" t="str">
        <f t="shared" si="10"/>
        <v/>
      </c>
      <c r="AS14" s="11">
        <f t="shared" si="10"/>
        <v>2.6807636940963248E-2</v>
      </c>
      <c r="AT14" s="56" t="str">
        <f>IF(ISERR(AP14-VLOOKUP($D14,$B$4:$BS$990,41,FALSE)),"",(AP14-VLOOKUP($D14,$B$4:$BS$990,41,FALSE)))</f>
        <v/>
      </c>
      <c r="AU14" s="56" t="e">
        <f>IF(ISERR(AQ14-VLOOKUP($D14,$B$4:$BS$990,42,FALSE)),"",(AQ14-VLOOKUP($D14,$B$4:$BS$990,42,FALSE)))</f>
        <v>#N/A</v>
      </c>
      <c r="AV14" s="74" t="str">
        <f>IF(ISERR(AR14-VLOOKUP($D14,$B$4:$BS$990,43,FALSE)),"",AR14-VLOOKUP($D14,$B$4:$BS$990,43,FALSE))</f>
        <v/>
      </c>
      <c r="AW14" s="74" t="e">
        <f>IF(ISERR(AS14-VLOOKUP($D14,$B$4:$BS$990,44,FALSE)),"",AS14-VLOOKUP($D14,$B$4:$BS$990,44,FALSE))</f>
        <v>#N/A</v>
      </c>
      <c r="AX14" s="82">
        <f t="shared" ref="AX14:AY14" si="11">IF(ISERR(AVERAGE(AX15:AX18)),"",AVERAGE(AX15:AX18))</f>
        <v>1.3272072424744394E-2</v>
      </c>
      <c r="AY14" s="11" t="str">
        <f t="shared" si="11"/>
        <v/>
      </c>
      <c r="AZ14" s="89" t="e">
        <f>IF(ISERR(AX14-VLOOKUP($D14,$B$4:$BS$990,49,FALSE)),"",(AX14-VLOOKUP($D14,$B$4:$BS$990,49,FALSE)))</f>
        <v>#N/A</v>
      </c>
      <c r="BA14" s="89" t="str">
        <f>IF(ISERR(AY14-VLOOKUP($D14,$B$4:$BS$990,50,FALSE)),"",(AY14-VLOOKUP($D14,$B$4:$BS$990,50,FALSE)))</f>
        <v/>
      </c>
      <c r="BB14" s="82">
        <f t="shared" ref="BB14:BS14" si="12">IF(ISERR(AVERAGE(BB15:BB18)),"",AVERAGE(BB15:BB18))</f>
        <v>-7.92802358184376E-2</v>
      </c>
      <c r="BC14" s="8">
        <f t="shared" si="12"/>
        <v>-8.037736083238764E-2</v>
      </c>
      <c r="BD14" s="8">
        <f t="shared" si="12"/>
        <v>-7.6952949087755906E-2</v>
      </c>
      <c r="BE14" s="8">
        <f t="shared" si="12"/>
        <v>-8.0601954938587184E-2</v>
      </c>
      <c r="BF14" s="8">
        <f t="shared" si="12"/>
        <v>-7.9140375066204083E-2</v>
      </c>
      <c r="BG14" s="8">
        <f t="shared" si="12"/>
        <v>-7.5717966690794183E-2</v>
      </c>
      <c r="BH14" s="8">
        <f t="shared" si="12"/>
        <v>-7.9765824549208164E-2</v>
      </c>
      <c r="BI14" s="8">
        <f t="shared" si="12"/>
        <v>-8.121857697306234E-2</v>
      </c>
      <c r="BJ14" s="8">
        <f t="shared" si="12"/>
        <v>-8.3236023918532964E-2</v>
      </c>
      <c r="BK14" s="8">
        <f t="shared" si="12"/>
        <v>-7.9482166338072771E-2</v>
      </c>
      <c r="BL14" s="8">
        <f t="shared" si="12"/>
        <v>-8.0212887740406441E-2</v>
      </c>
      <c r="BM14" s="8">
        <f t="shared" si="12"/>
        <v>-8.0442326981742224E-2</v>
      </c>
      <c r="BN14" s="8">
        <f t="shared" si="12"/>
        <v>-7.9831341508463716E-2</v>
      </c>
      <c r="BO14" s="8">
        <f t="shared" si="12"/>
        <v>-8.3564481122030854E-2</v>
      </c>
      <c r="BP14" s="8">
        <f t="shared" si="12"/>
        <v>-8.311594677533285E-2</v>
      </c>
      <c r="BQ14" s="8">
        <f t="shared" si="12"/>
        <v>-7.705128639353663E-2</v>
      </c>
      <c r="BR14" s="8">
        <f t="shared" si="12"/>
        <v>-7.656908957889498E-2</v>
      </c>
      <c r="BS14" s="103">
        <f t="shared" si="12"/>
        <v>-6.1227825352188611E-2</v>
      </c>
      <c r="BT14" s="106" t="str">
        <f>IF($D14="","",BB14-VLOOKUP($D14,$B$4:$BS$990,53,FALSE))</f>
        <v/>
      </c>
      <c r="BU14" s="56" t="str">
        <f>IF($D14="","",BC14-VLOOKUP($D14,$B$4:$BS$990,54,FALSE))</f>
        <v/>
      </c>
      <c r="BV14" s="56" t="str">
        <f>IF($D14="","",BD14-VLOOKUP($D14,$B$4:$BS$990,55,FALSE))</f>
        <v/>
      </c>
      <c r="BW14" s="56" t="str">
        <f>IF($D14="","",BE14-VLOOKUP($D14,$B$4:$BS$990,56,FALSE))</f>
        <v/>
      </c>
      <c r="BX14" s="56" t="str">
        <f>IF($D14="","",BF14-VLOOKUP($D14,$B$4:$BS$990,57,FALSE))</f>
        <v/>
      </c>
      <c r="BY14" s="56" t="str">
        <f>IF($D14="","",BG14-VLOOKUP($D14,$B$4:$BS$990,58,FALSE))</f>
        <v/>
      </c>
      <c r="BZ14" s="56" t="str">
        <f>IF($D14="","",BH14-VLOOKUP($D14,$B$4:$BS$990,59,FALSE))</f>
        <v/>
      </c>
      <c r="CA14" s="56" t="str">
        <f>IF($D14="","",BI14-VLOOKUP($D14,$B$4:$BS$990,60,FALSE))</f>
        <v/>
      </c>
      <c r="CB14" s="56" t="str">
        <f>IF($D14="","",BJ14-VLOOKUP($D14,$B$4:$BS$990,61,FALSE))</f>
        <v/>
      </c>
      <c r="CC14" s="56" t="str">
        <f>IF($D14="","",BK14-VLOOKUP($D14,$B$4:$BS$990,62,FALSE))</f>
        <v/>
      </c>
      <c r="CD14" s="56" t="str">
        <f>IF($D14="","",BL14-VLOOKUP($D14,$B$4:$BS$990,63,FALSE))</f>
        <v/>
      </c>
      <c r="CE14" s="56" t="str">
        <f>IF($D14="","",BM14-VLOOKUP($D14,$B$4:$BS$990,64,FALSE))</f>
        <v/>
      </c>
      <c r="CF14" s="56" t="str">
        <f>IF($D14="","",BN14-VLOOKUP($D14,$B$4:$BS$990,65,FALSE))</f>
        <v/>
      </c>
      <c r="CG14" s="56" t="str">
        <f>IF($D14="","",BO14-VLOOKUP($D14,$B$4:$BS$990,66,FALSE))</f>
        <v/>
      </c>
      <c r="CH14" s="56" t="str">
        <f>IF($D14="","",BP14-VLOOKUP($D14,$B$4:$BS$990,67,FALSE))</f>
        <v/>
      </c>
      <c r="CI14" s="56" t="str">
        <f>IF($D14="","",BQ14-VLOOKUP($D14,$B$4:$BS$990,68,FALSE))</f>
        <v/>
      </c>
      <c r="CJ14" s="56" t="str">
        <f>IF($D14="","",BR14-VLOOKUP($D14,$B$4:$BS$990,69,FALSE))</f>
        <v/>
      </c>
      <c r="CK14" s="78" t="str">
        <f>IF($D14="","",BS14-VLOOKUP($D14,$B$4:$BS$990,70,FALSE))</f>
        <v/>
      </c>
      <c r="CL14" s="1"/>
      <c r="DI14" s="3"/>
      <c r="DJ14" s="3"/>
      <c r="DK14" s="3"/>
      <c r="DL14" s="3"/>
      <c r="DM14" s="3"/>
      <c r="DN14" s="3"/>
      <c r="DO14" s="3"/>
      <c r="DP14" s="3"/>
      <c r="DQ14" s="3"/>
      <c r="DR14" s="3"/>
      <c r="DS14" s="3"/>
      <c r="DT14" s="3"/>
      <c r="DU14" s="3"/>
      <c r="DV14" s="3"/>
      <c r="DW14" s="3"/>
      <c r="DX14" s="3"/>
      <c r="DY14" s="3"/>
      <c r="DZ14" s="3"/>
      <c r="EA14" s="3"/>
      <c r="EB14" s="3"/>
      <c r="EC14" s="3"/>
      <c r="ED14" s="3"/>
      <c r="EE14" s="3"/>
      <c r="EF14" s="3"/>
      <c r="EG14" s="3"/>
      <c r="EH14" s="3"/>
      <c r="EI14" s="3"/>
      <c r="EJ14" s="3"/>
      <c r="EK14" s="3"/>
      <c r="EL14" s="3"/>
      <c r="EM14" s="3"/>
      <c r="EN14" s="3"/>
      <c r="EO14" s="3"/>
      <c r="EP14" s="3"/>
      <c r="EQ14" s="3"/>
      <c r="ER14" s="3"/>
      <c r="ES14" s="3"/>
      <c r="ET14" s="3"/>
      <c r="EU14" s="3"/>
      <c r="EV14" s="3"/>
      <c r="EW14" s="3"/>
      <c r="EX14" s="3"/>
      <c r="EY14" s="3"/>
      <c r="EZ14" s="3"/>
      <c r="FA14" s="3"/>
      <c r="FB14" s="3"/>
      <c r="FC14" s="3"/>
      <c r="FD14" s="3"/>
      <c r="FE14" s="3"/>
      <c r="FF14" s="3"/>
      <c r="FG14" s="3"/>
      <c r="FH14" s="3"/>
      <c r="FI14" s="3"/>
      <c r="FJ14" s="3"/>
      <c r="FK14" s="3"/>
      <c r="FL14" s="3"/>
      <c r="FM14" s="3"/>
      <c r="FN14" s="3"/>
      <c r="FO14" s="3"/>
      <c r="FP14" s="3"/>
      <c r="FQ14" s="3"/>
      <c r="FR14" s="3"/>
      <c r="FS14" s="3"/>
      <c r="FT14" s="3"/>
      <c r="FU14" s="3"/>
      <c r="FV14" s="3"/>
      <c r="FW14" s="3"/>
      <c r="FX14" s="3"/>
      <c r="FY14" s="3"/>
      <c r="FZ14" s="3"/>
      <c r="GA14" s="3"/>
      <c r="GB14" s="3"/>
      <c r="GC14" s="3"/>
      <c r="GD14" s="3"/>
      <c r="GE14" s="3"/>
      <c r="GF14" s="3"/>
      <c r="GG14" s="3"/>
      <c r="GH14" s="3"/>
      <c r="GI14" s="3"/>
      <c r="GJ14" s="3"/>
      <c r="GK14" s="3"/>
      <c r="GL14" s="3"/>
      <c r="GM14" s="3"/>
      <c r="GN14" s="3"/>
      <c r="GO14" s="3"/>
      <c r="GP14" s="3"/>
      <c r="GQ14" s="3"/>
      <c r="GR14" s="3"/>
      <c r="GS14" s="3"/>
      <c r="GT14" s="3"/>
      <c r="GU14" s="3"/>
      <c r="GV14" s="3"/>
      <c r="GW14" s="3"/>
      <c r="GX14" s="3"/>
      <c r="GY14" s="3"/>
      <c r="GZ14" s="3"/>
      <c r="HA14" s="3"/>
      <c r="HB14" s="3"/>
      <c r="HC14" s="3"/>
      <c r="HD14" s="3"/>
      <c r="HE14" s="3"/>
      <c r="HF14" s="3"/>
      <c r="HG14" s="3"/>
      <c r="HH14" s="3"/>
      <c r="HI14" s="3"/>
      <c r="HJ14" s="3"/>
      <c r="HK14" s="3"/>
      <c r="HL14" s="3"/>
      <c r="HM14" s="3"/>
      <c r="HN14" s="3"/>
      <c r="HO14" s="3"/>
      <c r="HP14" s="3"/>
    </row>
    <row r="15" spans="1:224" x14ac:dyDescent="0.25">
      <c r="A15" s="158" t="s">
        <v>125</v>
      </c>
      <c r="B15" s="10"/>
      <c r="C15" s="10">
        <v>1</v>
      </c>
      <c r="D15" s="76"/>
      <c r="E15" s="79">
        <v>0.154375668889601</v>
      </c>
      <c r="F15" s="80"/>
      <c r="G15" s="7">
        <v>0.3278613087540927</v>
      </c>
      <c r="H15" s="7">
        <v>0.3159818720144375</v>
      </c>
      <c r="I15" s="7">
        <v>1.1879436739655164E-2</v>
      </c>
      <c r="J15" s="7">
        <v>-3.7186100485544007E-2</v>
      </c>
      <c r="K15" s="7"/>
      <c r="L15" s="7"/>
      <c r="M15" s="7"/>
      <c r="N15" s="7"/>
      <c r="O15" s="79">
        <v>0.15205121763739118</v>
      </c>
      <c r="P15" s="7">
        <v>2.0817819923353173E-2</v>
      </c>
      <c r="Q15" s="7">
        <v>-5.8216659799090346E-2</v>
      </c>
      <c r="R15" s="7"/>
      <c r="S15" s="7"/>
      <c r="T15" s="80"/>
      <c r="U15" s="6">
        <v>4.553976971492232</v>
      </c>
      <c r="V15" s="6">
        <v>0.87537557340906247</v>
      </c>
      <c r="W15" s="90">
        <f>IF(ISERR(X15*$AC$1/375),"",(X15*$AC$1/375))</f>
        <v>6.170202515931239E-2</v>
      </c>
      <c r="X15" s="15">
        <f>IF(ISERR(((($AC$1)^2)*0.002558)*E15*$F$1),"",(((($AC$1)^2)*0.002558)*E15*$F$1))</f>
        <v>0.92553037738968591</v>
      </c>
      <c r="Y15" s="15"/>
      <c r="Z15" s="91"/>
      <c r="AA15" s="90">
        <f t="shared" ref="AA15:AD18" si="13">IF(ISERR(((($AC$1)^2)*0.002558)*G15*$F$1),"",(((($AC$1)^2)*0.002558)*G15*$F$1))</f>
        <v>1.9656310026397712</v>
      </c>
      <c r="AB15" s="15">
        <f t="shared" si="13"/>
        <v>1.8944100670615573</v>
      </c>
      <c r="AC15" s="15">
        <f t="shared" si="13"/>
        <v>7.1220935578213837E-2</v>
      </c>
      <c r="AD15" s="15">
        <f t="shared" si="13"/>
        <v>-0.22294229306723803</v>
      </c>
      <c r="AE15" s="132"/>
      <c r="AF15" s="132"/>
      <c r="AG15" s="132"/>
      <c r="AH15" s="133"/>
      <c r="AI15" s="96">
        <f>IF(ISERR(AA15/X15),"",(AA15/X15))</f>
        <v>2.1237887493045089</v>
      </c>
      <c r="AJ15" s="36">
        <f>IF(ISERR(AB15/AA15),"",(AB15/AA15))</f>
        <v>0.96376688428165469</v>
      </c>
      <c r="AK15" s="139">
        <f>IF((ISERROR((Coeff!AB15+TestInfoPage!$B$6)/(Coeff!AA15+TestInfoPage!$B$5))),"",((Coeff!AB15+TestInfoPage!$B$6)/(Coeff!AA15+TestInfoPage!$B$5)))</f>
        <v>0.96376688428165469</v>
      </c>
      <c r="AL15" s="96"/>
      <c r="AM15" s="36"/>
      <c r="AN15" s="142"/>
      <c r="AO15" s="79">
        <f t="shared" si="2"/>
        <v>1.761044064521957E-2</v>
      </c>
      <c r="AP15" s="4" t="s">
        <v>119</v>
      </c>
      <c r="AQ15" s="4">
        <v>8.4132443494758895E-3</v>
      </c>
      <c r="AR15" s="4" t="s">
        <v>119</v>
      </c>
      <c r="AS15" s="4">
        <v>2.6807636940963248E-2</v>
      </c>
      <c r="AT15" s="128"/>
      <c r="AU15" s="128"/>
      <c r="AV15" s="128"/>
      <c r="AW15" s="129"/>
      <c r="AX15" s="81">
        <v>1.978399490746726E-2</v>
      </c>
      <c r="AY15" s="4" t="s">
        <v>119</v>
      </c>
      <c r="AZ15" s="15"/>
      <c r="BA15" s="91"/>
      <c r="BB15" s="162">
        <v>-7.8843969630364608E-2</v>
      </c>
      <c r="BC15" s="128">
        <v>-8.0306162445992188E-2</v>
      </c>
      <c r="BD15" s="128">
        <v>-7.6257523937518751E-2</v>
      </c>
      <c r="BE15" s="128">
        <v>-8.0320653390104108E-2</v>
      </c>
      <c r="BF15" s="128">
        <v>-8.0332363843541463E-2</v>
      </c>
      <c r="BG15" s="128">
        <v>-7.685228314483214E-2</v>
      </c>
      <c r="BH15" s="128">
        <v>-8.1527776960952023E-2</v>
      </c>
      <c r="BI15" s="128">
        <v>-8.094316747789726E-2</v>
      </c>
      <c r="BJ15" s="128">
        <v>-8.3810550318318092E-2</v>
      </c>
      <c r="BK15" s="128">
        <v>-7.908994960336245E-2</v>
      </c>
      <c r="BL15" s="128">
        <v>-7.9967133075118962E-2</v>
      </c>
      <c r="BM15" s="128">
        <v>-7.9423625039619666E-2</v>
      </c>
      <c r="BN15" s="128">
        <v>-7.8877160018759454E-2</v>
      </c>
      <c r="BO15" s="128">
        <v>-8.4023790367313916E-2</v>
      </c>
      <c r="BP15" s="128">
        <v>-8.204488623714877E-2</v>
      </c>
      <c r="BQ15" s="128">
        <v>-7.6036434503551062E-2</v>
      </c>
      <c r="BR15" s="128">
        <v>-7.5942800245862016E-2</v>
      </c>
      <c r="BS15" s="129">
        <v>-6.0258136040236332E-2</v>
      </c>
      <c r="BT15" s="107"/>
      <c r="BU15" s="100"/>
      <c r="BV15" s="100"/>
      <c r="BW15" s="100"/>
      <c r="BX15" s="100"/>
      <c r="BY15" s="100"/>
      <c r="BZ15" s="100"/>
      <c r="CA15" s="100"/>
      <c r="CB15" s="100"/>
      <c r="CC15" s="100"/>
      <c r="CD15" s="100"/>
      <c r="CE15" s="100"/>
      <c r="CF15" s="100"/>
      <c r="CG15" s="100"/>
      <c r="CH15" s="100"/>
      <c r="CI15" s="100"/>
      <c r="CJ15" s="100"/>
      <c r="CK15" s="108"/>
      <c r="CL15" s="1"/>
      <c r="DI15" s="3"/>
      <c r="DJ15" s="3"/>
      <c r="DK15" s="3"/>
      <c r="DL15" s="3"/>
      <c r="DM15" s="3"/>
      <c r="DN15" s="3"/>
      <c r="DO15" s="3"/>
      <c r="DP15" s="3"/>
      <c r="DQ15" s="3"/>
      <c r="DR15" s="3"/>
      <c r="DS15" s="3"/>
      <c r="DT15" s="3"/>
      <c r="DU15" s="3"/>
      <c r="DV15" s="3"/>
      <c r="DW15" s="3"/>
      <c r="DX15" s="3"/>
      <c r="DY15" s="3"/>
      <c r="DZ15" s="3"/>
      <c r="EA15" s="3"/>
      <c r="EB15" s="3"/>
      <c r="EC15" s="3"/>
      <c r="ED15" s="3"/>
      <c r="EE15" s="3"/>
      <c r="EF15" s="3"/>
      <c r="EG15" s="3"/>
      <c r="EH15" s="3"/>
      <c r="EI15" s="3"/>
      <c r="EJ15" s="3"/>
      <c r="EK15" s="3"/>
      <c r="EL15" s="3"/>
      <c r="EM15" s="3"/>
      <c r="EN15" s="3"/>
      <c r="EO15" s="3"/>
      <c r="EP15" s="3"/>
      <c r="EQ15" s="3"/>
      <c r="ER15" s="3"/>
      <c r="ES15" s="3"/>
      <c r="ET15" s="3"/>
      <c r="EU15" s="3"/>
      <c r="EV15" s="3"/>
      <c r="EW15" s="3"/>
      <c r="EX15" s="3"/>
      <c r="EY15" s="3"/>
      <c r="EZ15" s="3"/>
      <c r="FA15" s="3"/>
      <c r="FB15" s="3"/>
      <c r="FC15" s="3"/>
      <c r="FD15" s="3"/>
      <c r="FE15" s="3"/>
      <c r="FF15" s="3"/>
      <c r="FG15" s="3"/>
      <c r="FH15" s="3"/>
      <c r="FI15" s="3"/>
      <c r="FJ15" s="3"/>
      <c r="FK15" s="3"/>
      <c r="FL15" s="3"/>
      <c r="FM15" s="3"/>
      <c r="FN15" s="3"/>
      <c r="FO15" s="3"/>
      <c r="FP15" s="3"/>
      <c r="FQ15" s="3"/>
      <c r="FR15" s="3"/>
      <c r="FS15" s="3"/>
      <c r="FT15" s="3"/>
      <c r="FU15" s="3"/>
      <c r="FV15" s="3"/>
      <c r="FW15" s="3"/>
      <c r="FX15" s="3"/>
      <c r="FY15" s="3"/>
      <c r="FZ15" s="3"/>
      <c r="GA15" s="3"/>
      <c r="GB15" s="3"/>
      <c r="GC15" s="3"/>
      <c r="GD15" s="3"/>
      <c r="GE15" s="3"/>
      <c r="GF15" s="3"/>
      <c r="GG15" s="3"/>
      <c r="GH15" s="3"/>
      <c r="GI15" s="3"/>
      <c r="GJ15" s="3"/>
      <c r="GK15" s="3"/>
      <c r="GL15" s="3"/>
      <c r="GM15" s="3"/>
      <c r="GN15" s="3"/>
      <c r="GO15" s="3"/>
      <c r="GP15" s="3"/>
      <c r="GQ15" s="3"/>
      <c r="GR15" s="3"/>
      <c r="GS15" s="3"/>
      <c r="GT15" s="3"/>
      <c r="GU15" s="3"/>
      <c r="GV15" s="3"/>
      <c r="GW15" s="3"/>
      <c r="GX15" s="3"/>
      <c r="GY15" s="3"/>
      <c r="GZ15" s="3"/>
      <c r="HA15" s="3"/>
      <c r="HB15" s="3"/>
      <c r="HC15" s="3"/>
      <c r="HD15" s="3"/>
      <c r="HE15" s="3"/>
      <c r="HF15" s="3"/>
      <c r="HG15" s="3"/>
      <c r="HH15" s="3"/>
      <c r="HI15" s="3"/>
      <c r="HJ15" s="3"/>
      <c r="HK15" s="3"/>
      <c r="HL15" s="3"/>
      <c r="HM15" s="3"/>
      <c r="HN15" s="3"/>
      <c r="HO15" s="3"/>
      <c r="HP15" s="3"/>
    </row>
    <row r="16" spans="1:224" x14ac:dyDescent="0.25">
      <c r="A16" s="158" t="s">
        <v>125</v>
      </c>
      <c r="B16" s="10"/>
      <c r="C16" s="10">
        <v>2</v>
      </c>
      <c r="D16" s="76"/>
      <c r="E16" s="81">
        <v>0.15544026774503539</v>
      </c>
      <c r="F16" s="80"/>
      <c r="G16" s="4">
        <v>0.33399306619945646</v>
      </c>
      <c r="H16" s="4">
        <v>0.22462496221903519</v>
      </c>
      <c r="I16" s="4">
        <v>0.10936810398042127</v>
      </c>
      <c r="J16" s="4">
        <v>-3.4678557289903045E-2</v>
      </c>
      <c r="K16" s="7"/>
      <c r="L16" s="7"/>
      <c r="M16" s="7"/>
      <c r="N16" s="7"/>
      <c r="O16" s="81">
        <v>5.7628429119306955E-2</v>
      </c>
      <c r="P16" s="4">
        <v>3.4488467964502625E-2</v>
      </c>
      <c r="Q16" s="4">
        <v>-9.1510678572393186E-2</v>
      </c>
      <c r="R16" s="7"/>
      <c r="S16" s="7"/>
      <c r="T16" s="80"/>
      <c r="U16" s="6">
        <v>4.5125853828211309</v>
      </c>
      <c r="V16" s="6">
        <v>0.86741919025339531</v>
      </c>
      <c r="W16" s="90">
        <f>IF(ISERR(X16*$AC$1/375),"",(X16*$AC$1/375))</f>
        <v>6.2127532014343824E-2</v>
      </c>
      <c r="X16" s="15">
        <f>IF(ISERR(((($AC$1)^2)*0.002558)*E16*$F$1),"",(((($AC$1)^2)*0.002558)*E16*$F$1))</f>
        <v>0.93191298021515734</v>
      </c>
      <c r="Y16" s="15"/>
      <c r="Z16" s="91"/>
      <c r="AA16" s="90">
        <f t="shared" si="13"/>
        <v>2.0023928046989288</v>
      </c>
      <c r="AB16" s="15">
        <f t="shared" si="13"/>
        <v>1.3466968438038094</v>
      </c>
      <c r="AC16" s="15">
        <f t="shared" si="13"/>
        <v>0.65569596089511939</v>
      </c>
      <c r="AD16" s="15">
        <f t="shared" si="13"/>
        <v>-0.20790878800212181</v>
      </c>
      <c r="AE16" s="15"/>
      <c r="AF16" s="15"/>
      <c r="AG16" s="15"/>
      <c r="AH16" s="91"/>
      <c r="AI16" s="96">
        <f>IF(ISERR(AA16/X16),"",(AA16/X16))</f>
        <v>2.1486907546202674</v>
      </c>
      <c r="AJ16" s="97">
        <f>IF(ISERR(AB16/AA16),"",(AB16/AA16))</f>
        <v>0.67254378893270794</v>
      </c>
      <c r="AK16" s="139">
        <f>IF((ISERROR((Coeff!AB16+TestInfoPage!$B$6)/(Coeff!AA16+TestInfoPage!$B$5))),"",((Coeff!AB16+TestInfoPage!$B$6)/(Coeff!AA16+TestInfoPage!$B$5)))</f>
        <v>0.67254378893270794</v>
      </c>
      <c r="AL16" s="96"/>
      <c r="AM16" s="36"/>
      <c r="AN16" s="142"/>
      <c r="AO16" s="79" t="str">
        <f t="shared" si="2"/>
        <v/>
      </c>
      <c r="AP16" s="4" t="s">
        <v>119</v>
      </c>
      <c r="AQ16" s="4" t="s">
        <v>119</v>
      </c>
      <c r="AR16" s="4" t="s">
        <v>119</v>
      </c>
      <c r="AS16" s="4" t="s">
        <v>119</v>
      </c>
      <c r="AT16" s="7"/>
      <c r="AU16" s="7"/>
      <c r="AV16" s="7"/>
      <c r="AW16" s="80"/>
      <c r="AX16" s="81">
        <v>6.7601499420215268E-3</v>
      </c>
      <c r="AY16" s="4" t="s">
        <v>119</v>
      </c>
      <c r="AZ16" s="15"/>
      <c r="BA16" s="91"/>
      <c r="BB16" s="79">
        <v>-7.9716502006510578E-2</v>
      </c>
      <c r="BC16" s="7">
        <v>-8.0448559218783106E-2</v>
      </c>
      <c r="BD16" s="7">
        <v>-7.7648374237993048E-2</v>
      </c>
      <c r="BE16" s="7">
        <v>-8.0883256487070274E-2</v>
      </c>
      <c r="BF16" s="7">
        <v>-7.7948386288866689E-2</v>
      </c>
      <c r="BG16" s="7">
        <v>-7.4583650236756227E-2</v>
      </c>
      <c r="BH16" s="7">
        <v>-7.8003872137464306E-2</v>
      </c>
      <c r="BI16" s="7">
        <v>-8.149398646822742E-2</v>
      </c>
      <c r="BJ16" s="7">
        <v>-8.2661497518747851E-2</v>
      </c>
      <c r="BK16" s="7">
        <v>-7.9874383072783092E-2</v>
      </c>
      <c r="BL16" s="7">
        <v>-8.045864240569392E-2</v>
      </c>
      <c r="BM16" s="7">
        <v>-8.1461028923864795E-2</v>
      </c>
      <c r="BN16" s="7">
        <v>-8.0785522998167991E-2</v>
      </c>
      <c r="BO16" s="7">
        <v>-8.3105171876747791E-2</v>
      </c>
      <c r="BP16" s="7">
        <v>-8.4187007313516943E-2</v>
      </c>
      <c r="BQ16" s="7">
        <v>-7.8066138283522199E-2</v>
      </c>
      <c r="BR16" s="7">
        <v>-7.7195378911927945E-2</v>
      </c>
      <c r="BS16" s="80">
        <v>-6.2197514664140897E-2</v>
      </c>
      <c r="BT16" s="107"/>
      <c r="BU16" s="100"/>
      <c r="BV16" s="100"/>
      <c r="BW16" s="100"/>
      <c r="BX16" s="100"/>
      <c r="BY16" s="100"/>
      <c r="BZ16" s="100"/>
      <c r="CA16" s="100"/>
      <c r="CB16" s="100"/>
      <c r="CC16" s="100"/>
      <c r="CD16" s="100"/>
      <c r="CE16" s="100"/>
      <c r="CF16" s="100"/>
      <c r="CG16" s="100"/>
      <c r="CH16" s="100"/>
      <c r="CI16" s="100"/>
      <c r="CJ16" s="100"/>
      <c r="CK16" s="108"/>
      <c r="CL16" s="1"/>
      <c r="DI16" s="3"/>
      <c r="DJ16" s="3"/>
      <c r="DK16" s="3"/>
      <c r="DL16" s="3"/>
      <c r="DM16" s="3"/>
      <c r="DN16" s="3"/>
      <c r="DO16" s="3"/>
      <c r="DP16" s="3"/>
      <c r="DQ16" s="3"/>
      <c r="DR16" s="3"/>
      <c r="DS16" s="3"/>
      <c r="DT16" s="3"/>
      <c r="DU16" s="3"/>
      <c r="DV16" s="3"/>
      <c r="DW16" s="3"/>
      <c r="DX16" s="3"/>
      <c r="DY16" s="3"/>
      <c r="DZ16" s="3"/>
      <c r="EA16" s="3"/>
      <c r="EB16" s="3"/>
      <c r="EC16" s="3"/>
      <c r="ED16" s="3"/>
      <c r="EE16" s="3"/>
      <c r="EF16" s="3"/>
      <c r="EG16" s="3"/>
      <c r="EH16" s="3"/>
      <c r="EI16" s="3"/>
      <c r="EJ16" s="3"/>
      <c r="EK16" s="3"/>
      <c r="EL16" s="3"/>
      <c r="EM16" s="3"/>
      <c r="EN16" s="3"/>
      <c r="EO16" s="3"/>
      <c r="EP16" s="3"/>
      <c r="EQ16" s="3"/>
      <c r="ER16" s="3"/>
      <c r="ES16" s="3"/>
      <c r="ET16" s="3"/>
      <c r="EU16" s="3"/>
      <c r="EV16" s="3"/>
      <c r="EW16" s="3"/>
      <c r="EX16" s="3"/>
      <c r="EY16" s="3"/>
      <c r="EZ16" s="3"/>
      <c r="FA16" s="3"/>
      <c r="FB16" s="3"/>
      <c r="FC16" s="3"/>
      <c r="FD16" s="3"/>
      <c r="FE16" s="3"/>
      <c r="FF16" s="3"/>
      <c r="FG16" s="3"/>
      <c r="FH16" s="3"/>
      <c r="FI16" s="3"/>
      <c r="FJ16" s="3"/>
      <c r="FK16" s="3"/>
      <c r="FL16" s="3"/>
      <c r="FM16" s="3"/>
      <c r="FN16" s="3"/>
      <c r="FO16" s="3"/>
      <c r="FP16" s="3"/>
      <c r="FQ16" s="3"/>
      <c r="FR16" s="3"/>
      <c r="FS16" s="3"/>
      <c r="FT16" s="3"/>
      <c r="FU16" s="3"/>
      <c r="FV16" s="3"/>
      <c r="FW16" s="3"/>
      <c r="FX16" s="3"/>
      <c r="FY16" s="3"/>
      <c r="FZ16" s="3"/>
      <c r="GA16" s="3"/>
      <c r="GB16" s="3"/>
      <c r="GC16" s="3"/>
      <c r="GD16" s="3"/>
      <c r="GE16" s="3"/>
      <c r="GF16" s="3"/>
      <c r="GG16" s="3"/>
      <c r="GH16" s="3"/>
      <c r="GI16" s="3"/>
      <c r="GJ16" s="3"/>
      <c r="GK16" s="3"/>
      <c r="GL16" s="3"/>
      <c r="GM16" s="3"/>
      <c r="GN16" s="3"/>
      <c r="GO16" s="3"/>
      <c r="GP16" s="3"/>
      <c r="GQ16" s="3"/>
      <c r="GR16" s="3"/>
      <c r="GS16" s="3"/>
      <c r="GT16" s="3"/>
      <c r="GU16" s="3"/>
      <c r="GV16" s="3"/>
      <c r="GW16" s="3"/>
      <c r="GX16" s="3"/>
      <c r="GY16" s="3"/>
      <c r="GZ16" s="3"/>
      <c r="HA16" s="3"/>
      <c r="HB16" s="3"/>
      <c r="HC16" s="3"/>
      <c r="HD16" s="3"/>
      <c r="HE16" s="3"/>
      <c r="HF16" s="3"/>
      <c r="HG16" s="3"/>
      <c r="HH16" s="3"/>
      <c r="HI16" s="3"/>
      <c r="HJ16" s="3"/>
      <c r="HK16" s="3"/>
      <c r="HL16" s="3"/>
      <c r="HM16" s="3"/>
      <c r="HN16" s="3"/>
      <c r="HO16" s="3"/>
      <c r="HP16" s="3"/>
    </row>
    <row r="17" spans="1:224" ht="13.5" customHeight="1" x14ac:dyDescent="0.25">
      <c r="A17" s="158">
        <v>0</v>
      </c>
      <c r="B17" s="10"/>
      <c r="C17" s="10">
        <v>3</v>
      </c>
      <c r="D17" s="76"/>
      <c r="E17" s="81" t="s">
        <v>119</v>
      </c>
      <c r="F17" s="80"/>
      <c r="G17" s="4" t="s">
        <v>119</v>
      </c>
      <c r="H17" s="4" t="s">
        <v>119</v>
      </c>
      <c r="I17" s="4" t="s">
        <v>119</v>
      </c>
      <c r="J17" s="4" t="s">
        <v>119</v>
      </c>
      <c r="K17" s="7"/>
      <c r="L17" s="7"/>
      <c r="M17" s="7"/>
      <c r="N17" s="7"/>
      <c r="O17" s="81" t="s">
        <v>119</v>
      </c>
      <c r="P17" s="4" t="s">
        <v>119</v>
      </c>
      <c r="Q17" s="4" t="s">
        <v>119</v>
      </c>
      <c r="R17" s="7"/>
      <c r="S17" s="7"/>
      <c r="T17" s="80"/>
      <c r="U17" s="6" t="s">
        <v>119</v>
      </c>
      <c r="V17" s="6" t="s">
        <v>119</v>
      </c>
      <c r="W17" s="90" t="str">
        <f>IF(ISERR(X17*$AC$1/375),"",(X17*$AC$1/375))</f>
        <v/>
      </c>
      <c r="X17" s="15" t="str">
        <f>IF(ISERR(((($AC$1)^2)*0.002558)*E17*$F$1),"",(((($AC$1)^2)*0.002558)*E17*$F$1))</f>
        <v/>
      </c>
      <c r="Y17" s="15"/>
      <c r="Z17" s="91"/>
      <c r="AA17" s="90" t="str">
        <f t="shared" si="13"/>
        <v/>
      </c>
      <c r="AB17" s="15" t="str">
        <f t="shared" si="13"/>
        <v/>
      </c>
      <c r="AC17" s="15" t="str">
        <f t="shared" si="13"/>
        <v/>
      </c>
      <c r="AD17" s="15" t="str">
        <f t="shared" si="13"/>
        <v/>
      </c>
      <c r="AE17" s="15"/>
      <c r="AF17" s="15"/>
      <c r="AG17" s="15"/>
      <c r="AH17" s="91"/>
      <c r="AI17" s="96" t="str">
        <f>IF(ISERR(AA17/X17),"",(AA17/X17))</f>
        <v/>
      </c>
      <c r="AJ17" s="97" t="str">
        <f>IF(ISERR(AB17/AA17),"",(AB17/AA17))</f>
        <v/>
      </c>
      <c r="AK17" s="139" t="str">
        <f>IF((ISERROR((Coeff!AB17+TestInfoPage!$B$6)/(Coeff!AA17+TestInfoPage!$B$5))),"",((Coeff!AB17+TestInfoPage!$B$6)/(Coeff!AA17+TestInfoPage!$B$5)))</f>
        <v/>
      </c>
      <c r="AL17" s="96"/>
      <c r="AM17" s="36"/>
      <c r="AN17" s="142"/>
      <c r="AO17" s="79" t="str">
        <f t="shared" si="2"/>
        <v/>
      </c>
      <c r="AP17" s="4" t="s">
        <v>119</v>
      </c>
      <c r="AQ17" s="4" t="s">
        <v>119</v>
      </c>
      <c r="AR17" s="4" t="s">
        <v>119</v>
      </c>
      <c r="AS17" s="4" t="s">
        <v>119</v>
      </c>
      <c r="AT17" s="7"/>
      <c r="AU17" s="7"/>
      <c r="AV17" s="7"/>
      <c r="AW17" s="80"/>
      <c r="AX17" s="81" t="s">
        <v>119</v>
      </c>
      <c r="AY17" s="4" t="s">
        <v>119</v>
      </c>
      <c r="AZ17" s="15"/>
      <c r="BA17" s="91"/>
      <c r="BB17" s="79" t="s">
        <v>119</v>
      </c>
      <c r="BC17" s="7" t="s">
        <v>119</v>
      </c>
      <c r="BD17" s="7" t="s">
        <v>119</v>
      </c>
      <c r="BE17" s="7" t="s">
        <v>119</v>
      </c>
      <c r="BF17" s="7" t="s">
        <v>119</v>
      </c>
      <c r="BG17" s="7" t="s">
        <v>119</v>
      </c>
      <c r="BH17" s="7" t="s">
        <v>119</v>
      </c>
      <c r="BI17" s="7" t="s">
        <v>119</v>
      </c>
      <c r="BJ17" s="7" t="s">
        <v>119</v>
      </c>
      <c r="BK17" s="7" t="s">
        <v>119</v>
      </c>
      <c r="BL17" s="7" t="s">
        <v>119</v>
      </c>
      <c r="BM17" s="7" t="s">
        <v>119</v>
      </c>
      <c r="BN17" s="7" t="s">
        <v>119</v>
      </c>
      <c r="BO17" s="7" t="s">
        <v>119</v>
      </c>
      <c r="BP17" s="7" t="s">
        <v>119</v>
      </c>
      <c r="BQ17" s="7" t="s">
        <v>119</v>
      </c>
      <c r="BR17" s="7" t="s">
        <v>119</v>
      </c>
      <c r="BS17" s="80" t="s">
        <v>119</v>
      </c>
      <c r="BT17" s="107"/>
      <c r="BU17" s="100"/>
      <c r="BV17" s="100"/>
      <c r="BW17" s="100"/>
      <c r="BX17" s="100"/>
      <c r="BY17" s="100"/>
      <c r="BZ17" s="100"/>
      <c r="CA17" s="100"/>
      <c r="CB17" s="100"/>
      <c r="CC17" s="100"/>
      <c r="CD17" s="100"/>
      <c r="CE17" s="100"/>
      <c r="CF17" s="100"/>
      <c r="CG17" s="100"/>
      <c r="CH17" s="100"/>
      <c r="CI17" s="100"/>
      <c r="CJ17" s="100"/>
      <c r="CK17" s="108"/>
      <c r="CL17" s="1"/>
      <c r="DI17" s="3"/>
      <c r="DJ17" s="3"/>
      <c r="DK17" s="3"/>
      <c r="DL17" s="3"/>
      <c r="DM17" s="3"/>
      <c r="DN17" s="3"/>
      <c r="DO17" s="3"/>
      <c r="DP17" s="3"/>
      <c r="DQ17" s="3"/>
      <c r="DR17" s="3"/>
      <c r="DS17" s="3"/>
      <c r="DT17" s="3"/>
      <c r="DU17" s="3"/>
      <c r="DV17" s="3"/>
      <c r="DW17" s="3"/>
      <c r="DX17" s="3"/>
      <c r="DY17" s="3"/>
      <c r="DZ17" s="3"/>
      <c r="EA17" s="3"/>
      <c r="EB17" s="3"/>
      <c r="EC17" s="3"/>
      <c r="ED17" s="3"/>
      <c r="EE17" s="3"/>
      <c r="EF17" s="3"/>
      <c r="EG17" s="3"/>
      <c r="EH17" s="3"/>
      <c r="EI17" s="3"/>
      <c r="EJ17" s="3"/>
      <c r="EK17" s="3"/>
      <c r="EL17" s="3"/>
      <c r="EM17" s="3"/>
      <c r="EN17" s="3"/>
      <c r="EO17" s="3"/>
      <c r="EP17" s="3"/>
      <c r="EQ17" s="3"/>
      <c r="ER17" s="3"/>
      <c r="ES17" s="3"/>
      <c r="ET17" s="3"/>
      <c r="EU17" s="3"/>
      <c r="EV17" s="3"/>
      <c r="EW17" s="3"/>
      <c r="EX17" s="3"/>
      <c r="EY17" s="3"/>
      <c r="EZ17" s="3"/>
      <c r="FA17" s="3"/>
      <c r="FB17" s="3"/>
      <c r="FC17" s="3"/>
      <c r="FD17" s="3"/>
      <c r="FE17" s="3"/>
      <c r="FF17" s="3"/>
      <c r="FG17" s="3"/>
      <c r="FH17" s="3"/>
      <c r="FI17" s="3"/>
      <c r="FJ17" s="3"/>
      <c r="FK17" s="3"/>
      <c r="FL17" s="3"/>
      <c r="FM17" s="3"/>
      <c r="FN17" s="3"/>
      <c r="FO17" s="3"/>
      <c r="FP17" s="3"/>
      <c r="FQ17" s="3"/>
      <c r="FR17" s="3"/>
      <c r="FS17" s="3"/>
      <c r="FT17" s="3"/>
      <c r="FU17" s="3"/>
      <c r="FV17" s="3"/>
      <c r="FW17" s="3"/>
      <c r="FX17" s="3"/>
      <c r="FY17" s="3"/>
      <c r="FZ17" s="3"/>
      <c r="GA17" s="3"/>
      <c r="GB17" s="3"/>
      <c r="GC17" s="3"/>
      <c r="GD17" s="3"/>
      <c r="GE17" s="3"/>
      <c r="GF17" s="3"/>
      <c r="GG17" s="3"/>
      <c r="GH17" s="3"/>
      <c r="GI17" s="3"/>
      <c r="GJ17" s="3"/>
      <c r="GK17" s="3"/>
      <c r="GL17" s="3"/>
      <c r="GM17" s="3"/>
      <c r="GN17" s="3"/>
      <c r="GO17" s="3"/>
      <c r="GP17" s="3"/>
      <c r="GQ17" s="3"/>
      <c r="GR17" s="3"/>
      <c r="GS17" s="3"/>
      <c r="GT17" s="3"/>
      <c r="GU17" s="3"/>
      <c r="GV17" s="3"/>
      <c r="GW17" s="3"/>
      <c r="GX17" s="3"/>
      <c r="GY17" s="3"/>
      <c r="GZ17" s="3"/>
      <c r="HA17" s="3"/>
      <c r="HB17" s="3"/>
      <c r="HC17" s="3"/>
      <c r="HD17" s="3"/>
      <c r="HE17" s="3"/>
      <c r="HF17" s="3"/>
      <c r="HG17" s="3"/>
      <c r="HH17" s="3"/>
      <c r="HI17" s="3"/>
      <c r="HJ17" s="3"/>
      <c r="HK17" s="3"/>
      <c r="HL17" s="3"/>
      <c r="HM17" s="3"/>
      <c r="HN17" s="3"/>
      <c r="HO17" s="3"/>
      <c r="HP17" s="3"/>
    </row>
    <row r="18" spans="1:224" ht="13.5" customHeight="1" thickBot="1" x14ac:dyDescent="0.3">
      <c r="A18" s="158">
        <v>0</v>
      </c>
      <c r="B18" s="10"/>
      <c r="C18" s="10">
        <v>4</v>
      </c>
      <c r="D18" s="76"/>
      <c r="E18" s="81" t="s">
        <v>119</v>
      </c>
      <c r="F18" s="80"/>
      <c r="G18" s="4" t="s">
        <v>119</v>
      </c>
      <c r="H18" s="4" t="s">
        <v>119</v>
      </c>
      <c r="I18" s="4" t="s">
        <v>119</v>
      </c>
      <c r="J18" s="4" t="s">
        <v>119</v>
      </c>
      <c r="K18" s="7"/>
      <c r="L18" s="7"/>
      <c r="M18" s="7"/>
      <c r="N18" s="7"/>
      <c r="O18" s="81" t="s">
        <v>119</v>
      </c>
      <c r="P18" s="4" t="s">
        <v>119</v>
      </c>
      <c r="Q18" s="4" t="s">
        <v>119</v>
      </c>
      <c r="R18" s="7"/>
      <c r="S18" s="7"/>
      <c r="T18" s="84"/>
      <c r="U18" s="6" t="s">
        <v>119</v>
      </c>
      <c r="V18" s="6" t="s">
        <v>119</v>
      </c>
      <c r="W18" s="90" t="str">
        <f>IF(ISERR(X18*$AC$1/375),"",(X18*$AC$1/375))</f>
        <v/>
      </c>
      <c r="X18" s="15" t="str">
        <f>IF(ISERR(((($AC$1)^2)*0.002558)*E18*$F$1),"",(((($AC$1)^2)*0.002558)*E18*$F$1))</f>
        <v/>
      </c>
      <c r="Y18" s="15"/>
      <c r="Z18" s="91"/>
      <c r="AA18" s="90" t="str">
        <f t="shared" si="13"/>
        <v/>
      </c>
      <c r="AB18" s="15" t="str">
        <f t="shared" si="13"/>
        <v/>
      </c>
      <c r="AC18" s="15" t="str">
        <f t="shared" si="13"/>
        <v/>
      </c>
      <c r="AD18" s="15" t="str">
        <f t="shared" si="13"/>
        <v/>
      </c>
      <c r="AE18" s="15"/>
      <c r="AF18" s="15"/>
      <c r="AG18" s="15"/>
      <c r="AH18" s="91"/>
      <c r="AI18" s="96" t="str">
        <f>IF(ISERR(AA18/X18),"",(AA18/X18))</f>
        <v/>
      </c>
      <c r="AJ18" s="97" t="str">
        <f>IF(ISERR(AB18/AA18),"",(AB18/AA18))</f>
        <v/>
      </c>
      <c r="AK18" s="139" t="str">
        <f>IF((ISERROR((Coeff!AB18+TestInfoPage!$B$6)/(Coeff!AA18+TestInfoPage!$B$5))),"",((Coeff!AB18+TestInfoPage!$B$6)/(Coeff!AA18+TestInfoPage!$B$5)))</f>
        <v/>
      </c>
      <c r="AL18" s="96"/>
      <c r="AM18" s="36"/>
      <c r="AN18" s="142"/>
      <c r="AO18" s="79" t="str">
        <f t="shared" si="2"/>
        <v/>
      </c>
      <c r="AP18" s="4" t="s">
        <v>119</v>
      </c>
      <c r="AQ18" s="4" t="s">
        <v>119</v>
      </c>
      <c r="AR18" s="4" t="s">
        <v>119</v>
      </c>
      <c r="AS18" s="4" t="s">
        <v>119</v>
      </c>
      <c r="AT18" s="7"/>
      <c r="AU18" s="7"/>
      <c r="AV18" s="7"/>
      <c r="AW18" s="80"/>
      <c r="AX18" s="81" t="s">
        <v>119</v>
      </c>
      <c r="AY18" s="4" t="s">
        <v>119</v>
      </c>
      <c r="AZ18" s="15"/>
      <c r="BA18" s="91"/>
      <c r="BB18" s="163" t="s">
        <v>119</v>
      </c>
      <c r="BC18" s="157" t="s">
        <v>119</v>
      </c>
      <c r="BD18" s="157" t="s">
        <v>119</v>
      </c>
      <c r="BE18" s="157" t="s">
        <v>119</v>
      </c>
      <c r="BF18" s="157" t="s">
        <v>119</v>
      </c>
      <c r="BG18" s="157" t="s">
        <v>119</v>
      </c>
      <c r="BH18" s="157" t="s">
        <v>119</v>
      </c>
      <c r="BI18" s="157" t="s">
        <v>119</v>
      </c>
      <c r="BJ18" s="157" t="s">
        <v>119</v>
      </c>
      <c r="BK18" s="157" t="s">
        <v>119</v>
      </c>
      <c r="BL18" s="157" t="s">
        <v>119</v>
      </c>
      <c r="BM18" s="157" t="s">
        <v>119</v>
      </c>
      <c r="BN18" s="157" t="s">
        <v>119</v>
      </c>
      <c r="BO18" s="157" t="s">
        <v>119</v>
      </c>
      <c r="BP18" s="157" t="s">
        <v>119</v>
      </c>
      <c r="BQ18" s="157" t="s">
        <v>119</v>
      </c>
      <c r="BR18" s="157" t="s">
        <v>119</v>
      </c>
      <c r="BS18" s="84" t="s">
        <v>119</v>
      </c>
      <c r="BT18" s="107"/>
      <c r="BU18" s="100"/>
      <c r="BV18" s="100"/>
      <c r="BW18" s="100"/>
      <c r="BX18" s="100"/>
      <c r="BY18" s="100"/>
      <c r="BZ18" s="100"/>
      <c r="CA18" s="100"/>
      <c r="CB18" s="100"/>
      <c r="CC18" s="100"/>
      <c r="CD18" s="100"/>
      <c r="CE18" s="100"/>
      <c r="CF18" s="100"/>
      <c r="CG18" s="100"/>
      <c r="CH18" s="100"/>
      <c r="CI18" s="100"/>
      <c r="CJ18" s="100"/>
      <c r="CK18" s="108"/>
      <c r="CL18" s="1"/>
      <c r="DI18" s="3"/>
      <c r="DJ18" s="3"/>
      <c r="DK18" s="3"/>
      <c r="DL18" s="3"/>
      <c r="DM18" s="3"/>
      <c r="DN18" s="3"/>
      <c r="DO18" s="3"/>
      <c r="DP18" s="3"/>
      <c r="DQ18" s="3"/>
      <c r="DR18" s="3"/>
      <c r="DS18" s="3"/>
      <c r="DT18" s="3"/>
      <c r="DU18" s="3"/>
      <c r="DV18" s="3"/>
      <c r="DW18" s="3"/>
      <c r="DX18" s="3"/>
      <c r="DY18" s="3"/>
      <c r="DZ18" s="3"/>
      <c r="EA18" s="3"/>
      <c r="EB18" s="3"/>
      <c r="EC18" s="3"/>
      <c r="ED18" s="3"/>
      <c r="EE18" s="3"/>
      <c r="EF18" s="3"/>
      <c r="EG18" s="3"/>
      <c r="EH18" s="3"/>
      <c r="EI18" s="3"/>
      <c r="EJ18" s="3"/>
      <c r="EK18" s="3"/>
      <c r="EL18" s="3"/>
      <c r="EM18" s="3"/>
      <c r="EN18" s="3"/>
      <c r="EO18" s="3"/>
      <c r="EP18" s="3"/>
      <c r="EQ18" s="3"/>
      <c r="ER18" s="3"/>
      <c r="ES18" s="3"/>
      <c r="ET18" s="3"/>
      <c r="EU18" s="3"/>
      <c r="EV18" s="3"/>
      <c r="EW18" s="3"/>
      <c r="EX18" s="3"/>
      <c r="EY18" s="3"/>
      <c r="EZ18" s="3"/>
      <c r="FA18" s="3"/>
      <c r="FB18" s="3"/>
      <c r="FC18" s="3"/>
      <c r="FD18" s="3"/>
      <c r="FE18" s="3"/>
      <c r="FF18" s="3"/>
      <c r="FG18" s="3"/>
      <c r="FH18" s="3"/>
      <c r="FI18" s="3"/>
      <c r="FJ18" s="3"/>
      <c r="FK18" s="3"/>
      <c r="FL18" s="3"/>
      <c r="FM18" s="3"/>
      <c r="FN18" s="3"/>
      <c r="FO18" s="3"/>
      <c r="FP18" s="3"/>
      <c r="FQ18" s="3"/>
      <c r="FR18" s="3"/>
      <c r="FS18" s="3"/>
      <c r="FT18" s="3"/>
      <c r="FU18" s="3"/>
      <c r="FV18" s="3"/>
      <c r="FW18" s="3"/>
      <c r="FX18" s="3"/>
      <c r="FY18" s="3"/>
      <c r="FZ18" s="3"/>
      <c r="GA18" s="3"/>
      <c r="GB18" s="3"/>
      <c r="GC18" s="3"/>
      <c r="GD18" s="3"/>
      <c r="GE18" s="3"/>
      <c r="GF18" s="3"/>
      <c r="GG18" s="3"/>
      <c r="GH18" s="3"/>
      <c r="GI18" s="3"/>
      <c r="GJ18" s="3"/>
      <c r="GK18" s="3"/>
      <c r="GL18" s="3"/>
      <c r="GM18" s="3"/>
      <c r="GN18" s="3"/>
      <c r="GO18" s="3"/>
      <c r="GP18" s="3"/>
      <c r="GQ18" s="3"/>
      <c r="GR18" s="3"/>
      <c r="GS18" s="3"/>
      <c r="GT18" s="3"/>
      <c r="GU18" s="3"/>
      <c r="GV18" s="3"/>
      <c r="GW18" s="3"/>
      <c r="GX18" s="3"/>
      <c r="GY18" s="3"/>
      <c r="GZ18" s="3"/>
      <c r="HA18" s="3"/>
      <c r="HB18" s="3"/>
      <c r="HC18" s="3"/>
      <c r="HD18" s="3"/>
      <c r="HE18" s="3"/>
      <c r="HF18" s="3"/>
      <c r="HG18" s="3"/>
      <c r="HH18" s="3"/>
      <c r="HI18" s="3"/>
      <c r="HJ18" s="3"/>
      <c r="HK18" s="3"/>
      <c r="HL18" s="3"/>
      <c r="HM18" s="3"/>
      <c r="HN18" s="3"/>
      <c r="HO18" s="3"/>
      <c r="HP18" s="3"/>
    </row>
    <row r="19" spans="1:224" ht="14.25" thickBot="1" x14ac:dyDescent="0.3">
      <c r="A19" s="158" t="s">
        <v>126</v>
      </c>
      <c r="B19" s="9">
        <f>B14+1</f>
        <v>4</v>
      </c>
      <c r="C19" s="66" t="s">
        <v>56</v>
      </c>
      <c r="D19" s="75">
        <v>3</v>
      </c>
      <c r="E19" s="82">
        <f>IF(ISERR(AVERAGE(E20:E23)),"",AVERAGE(E20:E23))</f>
        <v>0.14635905024433649</v>
      </c>
      <c r="F19" s="78">
        <f>IF($D19="","",E19-VLOOKUP($D19,$B$4:$BS$990,4,FALSE))</f>
        <v>-8.5489180729816927E-3</v>
      </c>
      <c r="G19" s="44">
        <f t="shared" ref="G19:Q19" si="14">IF(ISERR(AVERAGE(G20:G23)),"",AVERAGE(G20:G23))</f>
        <v>0.43313006885006744</v>
      </c>
      <c r="H19" s="8">
        <f t="shared" si="14"/>
        <v>0.45135463529558184</v>
      </c>
      <c r="I19" s="8">
        <f t="shared" si="14"/>
        <v>-1.8224566445514387E-2</v>
      </c>
      <c r="J19" s="44">
        <f>IF(ISERR(AVERAGE(J20:J23)),"",AVERAGE(J20:J23))</f>
        <v>-4.0570055731633612E-3</v>
      </c>
      <c r="K19" s="56">
        <f>IF($D19="","",G19-VLOOKUP($D19,$B$4:$BS$990,6,FALSE))</f>
        <v>0.10220288137329286</v>
      </c>
      <c r="L19" s="56">
        <f>IF($D19="","",H19-VLOOKUP($D19,$B$4:$BS$990,7,FALSE))</f>
        <v>0.18105121817884551</v>
      </c>
      <c r="M19" s="56">
        <f>IF($D19="","",I19-VLOOKUP($D19,$B$4:$BS$990,8,FALSE))</f>
        <v>-7.8848336805552602E-2</v>
      </c>
      <c r="N19" s="74">
        <f>IF($D19="","",J19-VLOOKUP($D19,$B$4:$BS$990,9,FALSE))</f>
        <v>3.1875323314560167E-2</v>
      </c>
      <c r="O19" s="82">
        <f t="shared" si="14"/>
        <v>0.23478960087054812</v>
      </c>
      <c r="P19" s="8">
        <f t="shared" si="14"/>
        <v>1.6406812737449941E-3</v>
      </c>
      <c r="Q19" s="8">
        <f t="shared" si="14"/>
        <v>-7.5748316348903501E-3</v>
      </c>
      <c r="R19" s="56">
        <f>IF($D19="","",O19-VLOOKUP($D19,$B$4:$BS$990,14,FALSE))</f>
        <v>0.12994977749219905</v>
      </c>
      <c r="S19" s="56">
        <f>IF($D19="","",P19-VLOOKUP($D19,$B$4:$BS$990,15,FALSE))</f>
        <v>-2.6012462670182906E-2</v>
      </c>
      <c r="T19" s="78">
        <f>IF($D19="","",Q19-VLOOKUP($D19,$B$4:$BS$990,16,FALSE))</f>
        <v>6.728883755085141E-2</v>
      </c>
      <c r="U19" s="44">
        <f t="shared" ref="U19:AS19" si="15">IF(ISERR(AVERAGE(U20:U23)),"",AVERAGE(U20:U23))</f>
        <v>1.764655785856168</v>
      </c>
      <c r="V19" s="11">
        <f t="shared" si="15"/>
        <v>0.33920605661457448</v>
      </c>
      <c r="W19" s="88">
        <f t="shared" si="15"/>
        <v>5.8497882894533233E-2</v>
      </c>
      <c r="X19" s="32">
        <f t="shared" si="15"/>
        <v>0.87746824341799856</v>
      </c>
      <c r="Y19" s="71">
        <f>IF($D19="","",W19-VLOOKUP($D19,$B$4:$BS$990,22,FALSE))</f>
        <v>-3.4168956922948704E-3</v>
      </c>
      <c r="Z19" s="89">
        <f>IF($D19="","",X19-VLOOKUP($D19,$B$4:$BS$990,23,FALSE))</f>
        <v>-5.1253435384423063E-2</v>
      </c>
      <c r="AA19" s="88">
        <f t="shared" si="15"/>
        <v>2.5967501159026698</v>
      </c>
      <c r="AB19" s="31">
        <f t="shared" si="15"/>
        <v>2.7060120869205431</v>
      </c>
      <c r="AC19" s="31">
        <f t="shared" si="15"/>
        <v>-0.10926197101787297</v>
      </c>
      <c r="AD19" s="32">
        <f>IF(ISERR(AVERAGE(AD20:AD23)),"",AVERAGE(AD20:AD23))</f>
        <v>-2.4323016225355966E-2</v>
      </c>
      <c r="AE19" s="71">
        <f>IF($D19="","",AA19-VLOOKUP($D19,$B$4:$BS$990,26,FALSE))</f>
        <v>0.61273821223331981</v>
      </c>
      <c r="AF19" s="71">
        <f>IF($D19="","",AB19-VLOOKUP($D19,$B$4:$BS$990,27,FALSE))</f>
        <v>1.0854586314878598</v>
      </c>
      <c r="AG19" s="92">
        <f>IF($D19="","",AC19-VLOOKUP($D19,$B$4:$BS$990,28,FALSE))</f>
        <v>-0.47272041925453956</v>
      </c>
      <c r="AH19" s="89">
        <f>IF($D19="","",AD19-VLOOKUP($D19,$B$4:$BS$990,29,FALSE))</f>
        <v>0.19110252430932398</v>
      </c>
      <c r="AI19" s="95">
        <f t="shared" si="15"/>
        <v>2.9593296438516017</v>
      </c>
      <c r="AJ19" s="35">
        <f t="shared" si="15"/>
        <v>1.0456940621084723</v>
      </c>
      <c r="AK19" s="138">
        <f>IF((ISERROR((Coeff!AB19+TestInfoPage!$B$6)/(Coeff!AA19+TestInfoPage!$B$5))),"",((Coeff!AB19+TestInfoPage!$B$6)/(Coeff!AA19+TestInfoPage!$B$5)))</f>
        <v>1.0420764286670272</v>
      </c>
      <c r="AL19" s="135">
        <f>IF($D19="","",AI19-VLOOKUP($D19,$B$4:$BS$990,34,FALSE))</f>
        <v>0.82308989188921355</v>
      </c>
      <c r="AM19" s="72">
        <f>IF($D19="","",AJ19-VLOOKUP($D19,$B$4:$BS$990,35,FALSE))</f>
        <v>0.22753872550129095</v>
      </c>
      <c r="AN19" s="115">
        <f>IF($D19="","",AK19-VLOOKUP($D19,$B$4:$BS$990,36,FALSE))</f>
        <v>0.22527011191281066</v>
      </c>
      <c r="AO19" s="134">
        <f t="shared" si="2"/>
        <v>3.7536659010506859E-2</v>
      </c>
      <c r="AP19" s="44">
        <f t="shared" si="15"/>
        <v>2.535827547772973E-2</v>
      </c>
      <c r="AQ19" s="8">
        <f t="shared" si="15"/>
        <v>4.0292627036141095E-2</v>
      </c>
      <c r="AR19" s="11">
        <f t="shared" si="15"/>
        <v>4.6102613566082619E-2</v>
      </c>
      <c r="AS19" s="11">
        <f t="shared" si="15"/>
        <v>3.8393119962074007E-2</v>
      </c>
      <c r="AT19" s="56" t="str">
        <f>IF(ISERR(AP19-VLOOKUP($D19,$B$4:$BS$990,41,FALSE)),"",(AP19-VLOOKUP($D19,$B$4:$BS$990,41,FALSE)))</f>
        <v/>
      </c>
      <c r="AU19" s="56">
        <f>IF(ISERR(AQ19-VLOOKUP($D19,$B$4:$BS$990,42,FALSE)),"",(AQ19-VLOOKUP($D19,$B$4:$BS$990,42,FALSE)))</f>
        <v>3.1879382686665209E-2</v>
      </c>
      <c r="AV19" s="74" t="str">
        <f>IF(ISERR(AR19-VLOOKUP($D19,$B$4:$BS$990,43,FALSE)),"",AR19-VLOOKUP($D19,$B$4:$BS$990,43,FALSE))</f>
        <v/>
      </c>
      <c r="AW19" s="74">
        <f>IF(ISERR(AS19-VLOOKUP($D19,$B$4:$BS$990,44,FALSE)),"",AS19-VLOOKUP($D19,$B$4:$BS$990,44,FALSE))</f>
        <v>1.158548302111076E-2</v>
      </c>
      <c r="AX19" s="82">
        <f t="shared" ref="AX19:AY19" si="16">IF(ISERR(AVERAGE(AX20:AX23)),"",AVERAGE(AX20:AX23))</f>
        <v>3.1370992992287627E-2</v>
      </c>
      <c r="AY19" s="11">
        <f t="shared" si="16"/>
        <v>2.0160552839224247E-2</v>
      </c>
      <c r="AZ19" s="89">
        <f>IF(ISERR(AX19-VLOOKUP($D19,$B$4:$BS$990,49,FALSE)),"",(AX19-VLOOKUP($D19,$B$4:$BS$990,49,FALSE)))</f>
        <v>1.8098920567543232E-2</v>
      </c>
      <c r="BA19" s="89" t="str">
        <f>IF(ISERR(AY19-VLOOKUP($D19,$B$4:$BS$990,50,FALSE)),"",(AY19-VLOOKUP($D19,$B$4:$BS$990,50,FALSE)))</f>
        <v/>
      </c>
      <c r="BB19" s="82">
        <f t="shared" ref="BB19:BS19" si="17">IF(ISERR(AVERAGE(BB20:BB23)),"",AVERAGE(BB20:BB23))</f>
        <v>-7.5413179815500955E-2</v>
      </c>
      <c r="BC19" s="8">
        <f t="shared" si="17"/>
        <v>-8.1382658244362416E-2</v>
      </c>
      <c r="BD19" s="8">
        <f t="shared" si="17"/>
        <v>-7.9615020393106112E-2</v>
      </c>
      <c r="BE19" s="8">
        <f t="shared" si="17"/>
        <v>-9.2269877546501261E-2</v>
      </c>
      <c r="BF19" s="8">
        <f t="shared" si="17"/>
        <v>-8.5645501361282211E-2</v>
      </c>
      <c r="BG19" s="8">
        <f t="shared" si="17"/>
        <v>-8.7783355721979039E-2</v>
      </c>
      <c r="BH19" s="8">
        <f t="shared" si="17"/>
        <v>-8.6569874723348941E-2</v>
      </c>
      <c r="BI19" s="8">
        <f t="shared" si="17"/>
        <v>-7.6933971066304313E-2</v>
      </c>
      <c r="BJ19" s="8">
        <f t="shared" si="17"/>
        <v>-8.3548455974736618E-2</v>
      </c>
      <c r="BK19" s="8">
        <f t="shared" si="17"/>
        <v>-8.1177790253844598E-2</v>
      </c>
      <c r="BL19" s="8">
        <f t="shared" si="17"/>
        <v>-9.1993576324797433E-2</v>
      </c>
      <c r="BM19" s="8">
        <f t="shared" si="17"/>
        <v>-8.0756141034515699E-2</v>
      </c>
      <c r="BN19" s="8">
        <f t="shared" si="17"/>
        <v>-8.3792644775247338E-2</v>
      </c>
      <c r="BO19" s="8">
        <f t="shared" si="17"/>
        <v>-8.8855869970446033E-2</v>
      </c>
      <c r="BP19" s="8">
        <f t="shared" si="17"/>
        <v>-7.68691863393694E-2</v>
      </c>
      <c r="BQ19" s="8">
        <f t="shared" si="17"/>
        <v>-8.2762635438631993E-2</v>
      </c>
      <c r="BR19" s="8">
        <f t="shared" si="17"/>
        <v>-8.6790996273806653E-2</v>
      </c>
      <c r="BS19" s="103">
        <f t="shared" si="17"/>
        <v>-4.3235641441585398E-2</v>
      </c>
      <c r="BT19" s="106">
        <f>IF($D19="","",BB19-VLOOKUP($D19,$B$4:$BS$990,53,FALSE))</f>
        <v>3.8670560029366446E-3</v>
      </c>
      <c r="BU19" s="56">
        <f>IF($D19="","",BC19-VLOOKUP($D19,$B$4:$BS$990,54,FALSE))</f>
        <v>-1.005297411974776E-3</v>
      </c>
      <c r="BV19" s="56">
        <f>IF($D19="","",BD19-VLOOKUP($D19,$B$4:$BS$990,55,FALSE))</f>
        <v>-2.6620713053502054E-3</v>
      </c>
      <c r="BW19" s="56">
        <f>IF($D19="","",BE19-VLOOKUP($D19,$B$4:$BS$990,56,FALSE))</f>
        <v>-1.1667922607914077E-2</v>
      </c>
      <c r="BX19" s="56">
        <f>IF($D19="","",BF19-VLOOKUP($D19,$B$4:$BS$990,57,FALSE))</f>
        <v>-6.5051262950781286E-3</v>
      </c>
      <c r="BY19" s="56">
        <f>IF($D19="","",BG19-VLOOKUP($D19,$B$4:$BS$990,58,FALSE))</f>
        <v>-1.2065389031184856E-2</v>
      </c>
      <c r="BZ19" s="56">
        <f>IF($D19="","",BH19-VLOOKUP($D19,$B$4:$BS$990,59,FALSE))</f>
        <v>-6.8040501741407772E-3</v>
      </c>
      <c r="CA19" s="56">
        <f>IF($D19="","",BI19-VLOOKUP($D19,$B$4:$BS$990,60,FALSE))</f>
        <v>4.2846059067580267E-3</v>
      </c>
      <c r="CB19" s="56">
        <f>IF($D19="","",BJ19-VLOOKUP($D19,$B$4:$BS$990,61,FALSE))</f>
        <v>-3.1243205620365422E-4</v>
      </c>
      <c r="CC19" s="56">
        <f>IF($D19="","",BK19-VLOOKUP($D19,$B$4:$BS$990,62,FALSE))</f>
        <v>-1.6956239157718267E-3</v>
      </c>
      <c r="CD19" s="56">
        <f>IF($D19="","",BL19-VLOOKUP($D19,$B$4:$BS$990,63,FALSE))</f>
        <v>-1.1780688584390991E-2</v>
      </c>
      <c r="CE19" s="56">
        <f>IF($D19="","",BM19-VLOOKUP($D19,$B$4:$BS$990,64,FALSE))</f>
        <v>-3.1381405277347563E-4</v>
      </c>
      <c r="CF19" s="56">
        <f>IF($D19="","",BN19-VLOOKUP($D19,$B$4:$BS$990,65,FALSE))</f>
        <v>-3.9613032667836223E-3</v>
      </c>
      <c r="CG19" s="56">
        <f>IF($D19="","",BO19-VLOOKUP($D19,$B$4:$BS$990,66,FALSE))</f>
        <v>-5.2913888484151794E-3</v>
      </c>
      <c r="CH19" s="56">
        <f>IF($D19="","",BP19-VLOOKUP($D19,$B$4:$BS$990,67,FALSE))</f>
        <v>6.2467604359634499E-3</v>
      </c>
      <c r="CI19" s="56">
        <f>IF($D19="","",BQ19-VLOOKUP($D19,$B$4:$BS$990,68,FALSE))</f>
        <v>-5.7113490450953625E-3</v>
      </c>
      <c r="CJ19" s="56">
        <f>IF($D19="","",BR19-VLOOKUP($D19,$B$4:$BS$990,69,FALSE))</f>
        <v>-1.0221906694911673E-2</v>
      </c>
      <c r="CK19" s="78">
        <f>IF($D19="","",BS19-VLOOKUP($D19,$B$4:$BS$990,70,FALSE))</f>
        <v>1.7992183910603213E-2</v>
      </c>
      <c r="CL19" s="1"/>
      <c r="DI19" s="3"/>
      <c r="DJ19" s="3"/>
      <c r="DK19" s="3"/>
      <c r="DL19" s="3"/>
      <c r="DM19" s="3"/>
      <c r="DN19" s="3"/>
      <c r="DO19" s="3"/>
      <c r="DP19" s="3"/>
      <c r="DQ19" s="3"/>
      <c r="DR19" s="3"/>
      <c r="DS19" s="3"/>
      <c r="DT19" s="3"/>
      <c r="DU19" s="3"/>
      <c r="DV19" s="3"/>
      <c r="DW19" s="3"/>
      <c r="DX19" s="3"/>
      <c r="DY19" s="3"/>
      <c r="DZ19" s="3"/>
      <c r="EA19" s="3"/>
      <c r="EB19" s="3"/>
      <c r="EC19" s="3"/>
      <c r="ED19" s="3"/>
      <c r="EE19" s="3"/>
      <c r="EF19" s="3"/>
      <c r="EG19" s="3"/>
      <c r="EH19" s="3"/>
      <c r="EI19" s="3"/>
      <c r="EJ19" s="3"/>
      <c r="EK19" s="3"/>
      <c r="EL19" s="3"/>
      <c r="EM19" s="3"/>
      <c r="EN19" s="3"/>
      <c r="EO19" s="3"/>
      <c r="EP19" s="3"/>
      <c r="EQ19" s="3"/>
      <c r="ER19" s="3"/>
      <c r="ES19" s="3"/>
      <c r="ET19" s="3"/>
      <c r="EU19" s="3"/>
      <c r="EV19" s="3"/>
      <c r="EW19" s="3"/>
      <c r="EX19" s="3"/>
      <c r="EY19" s="3"/>
      <c r="EZ19" s="3"/>
      <c r="FA19" s="3"/>
      <c r="FB19" s="3"/>
      <c r="FC19" s="3"/>
      <c r="FD19" s="3"/>
      <c r="FE19" s="3"/>
      <c r="FF19" s="3"/>
      <c r="FG19" s="3"/>
      <c r="FH19" s="3"/>
      <c r="FI19" s="3"/>
      <c r="FJ19" s="3"/>
      <c r="FK19" s="3"/>
      <c r="FL19" s="3"/>
      <c r="FM19" s="3"/>
      <c r="FN19" s="3"/>
      <c r="FO19" s="3"/>
      <c r="FP19" s="3"/>
      <c r="FQ19" s="3"/>
      <c r="FR19" s="3"/>
      <c r="FS19" s="3"/>
      <c r="FT19" s="3"/>
      <c r="FU19" s="3"/>
      <c r="FV19" s="3"/>
      <c r="FW19" s="3"/>
      <c r="FX19" s="3"/>
      <c r="FY19" s="3"/>
      <c r="FZ19" s="3"/>
      <c r="GA19" s="3"/>
      <c r="GB19" s="3"/>
      <c r="GC19" s="3"/>
      <c r="GD19" s="3"/>
      <c r="GE19" s="3"/>
      <c r="GF19" s="3"/>
      <c r="GG19" s="3"/>
      <c r="GH19" s="3"/>
      <c r="GI19" s="3"/>
      <c r="GJ19" s="3"/>
      <c r="GK19" s="3"/>
      <c r="GL19" s="3"/>
      <c r="GM19" s="3"/>
      <c r="GN19" s="3"/>
      <c r="GO19" s="3"/>
      <c r="GP19" s="3"/>
      <c r="GQ19" s="3"/>
      <c r="GR19" s="3"/>
      <c r="GS19" s="3"/>
      <c r="GT19" s="3"/>
      <c r="GU19" s="3"/>
      <c r="GV19" s="3"/>
      <c r="GW19" s="3"/>
      <c r="GX19" s="3"/>
      <c r="GY19" s="3"/>
      <c r="GZ19" s="3"/>
      <c r="HA19" s="3"/>
      <c r="HB19" s="3"/>
      <c r="HC19" s="3"/>
      <c r="HD19" s="3"/>
      <c r="HE19" s="3"/>
      <c r="HF19" s="3"/>
      <c r="HG19" s="3"/>
      <c r="HH19" s="3"/>
      <c r="HI19" s="3"/>
      <c r="HJ19" s="3"/>
      <c r="HK19" s="3"/>
      <c r="HL19" s="3"/>
      <c r="HM19" s="3"/>
      <c r="HN19" s="3"/>
      <c r="HO19" s="3"/>
      <c r="HP19" s="3"/>
    </row>
    <row r="20" spans="1:224" x14ac:dyDescent="0.25">
      <c r="A20" s="158" t="s">
        <v>123</v>
      </c>
      <c r="B20" s="10"/>
      <c r="C20" s="10">
        <v>1</v>
      </c>
      <c r="D20" s="76"/>
      <c r="E20" s="79">
        <v>0.14640713013047163</v>
      </c>
      <c r="F20" s="80"/>
      <c r="G20" s="7">
        <v>0.44968851993887016</v>
      </c>
      <c r="H20" s="7">
        <v>0.42768314460741147</v>
      </c>
      <c r="I20" s="7">
        <v>2.2005375331458688E-2</v>
      </c>
      <c r="J20" s="7">
        <v>-1.8597670462863088E-2</v>
      </c>
      <c r="K20" s="7"/>
      <c r="L20" s="7"/>
      <c r="M20" s="7"/>
      <c r="N20" s="7"/>
      <c r="O20" s="79">
        <v>0.20283888463797639</v>
      </c>
      <c r="P20" s="7">
        <v>5.8691764398087895E-3</v>
      </c>
      <c r="Q20" s="7">
        <v>1.9494327773179345E-3</v>
      </c>
      <c r="R20" s="7"/>
      <c r="S20" s="7"/>
      <c r="T20" s="80"/>
      <c r="U20" s="6">
        <v>1.7667937881295819</v>
      </c>
      <c r="V20" s="6">
        <v>0.3396170281626863</v>
      </c>
      <c r="W20" s="90">
        <f>IF(ISERR(X20*$AC$1/375),"",(X20*$AC$1/375))</f>
        <v>5.8517099824022874E-2</v>
      </c>
      <c r="X20" s="15">
        <f>IF(ISERR(((($AC$1)^2)*0.002558)*E20*$F$1),"",(((($AC$1)^2)*0.002558)*E20*$F$1))</f>
        <v>0.87775649736034311</v>
      </c>
      <c r="Y20" s="15"/>
      <c r="Z20" s="91"/>
      <c r="AA20" s="90">
        <f t="shared" ref="AA20:AD23" si="18">IF(ISERR(((($AC$1)^2)*0.002558)*G20*$F$1),"",(((($AC$1)^2)*0.002558)*G20*$F$1))</f>
        <v>2.6960232046960071</v>
      </c>
      <c r="AB20" s="15">
        <f t="shared" si="18"/>
        <v>2.5640941029041215</v>
      </c>
      <c r="AC20" s="15">
        <f t="shared" si="18"/>
        <v>0.13192910179188588</v>
      </c>
      <c r="AD20" s="15">
        <f t="shared" si="18"/>
        <v>-0.11149884619688386</v>
      </c>
      <c r="AE20" s="15"/>
      <c r="AF20" s="15"/>
      <c r="AG20" s="15"/>
      <c r="AH20" s="91"/>
      <c r="AI20" s="96">
        <f>IF(ISERR(AA20/X20),"",(AA20/X20))</f>
        <v>3.071493304582416</v>
      </c>
      <c r="AJ20" s="36">
        <f>IF(ISERR(AB20/AA20),"",(AB20/AA20))</f>
        <v>0.95106529440767129</v>
      </c>
      <c r="AK20" s="139">
        <f>IF((ISERROR((Coeff!AB20+TestInfoPage!$B$6)/(Coeff!AA20+TestInfoPage!$B$5))),"",((Coeff!AB20+TestInfoPage!$B$6)/(Coeff!AA20+TestInfoPage!$B$5)))</f>
        <v>0.95106529440767129</v>
      </c>
      <c r="AL20" s="96"/>
      <c r="AM20" s="36"/>
      <c r="AN20" s="142"/>
      <c r="AO20" s="79">
        <f t="shared" si="2"/>
        <v>3.1180309705608665E-2</v>
      </c>
      <c r="AP20" s="4">
        <v>2.8759548464326511E-2</v>
      </c>
      <c r="AQ20" s="4">
        <v>3.9161950910530756E-2</v>
      </c>
      <c r="AR20" s="4">
        <v>3.1648663887638727E-2</v>
      </c>
      <c r="AS20" s="4">
        <v>2.5151075559938681E-2</v>
      </c>
      <c r="AT20" s="7"/>
      <c r="AU20" s="7"/>
      <c r="AV20" s="7"/>
      <c r="AW20" s="80"/>
      <c r="AX20" s="81">
        <v>3.7882949343231789E-2</v>
      </c>
      <c r="AY20" s="4">
        <v>2.0160552839224247E-2</v>
      </c>
      <c r="AZ20" s="15"/>
      <c r="BA20" s="91"/>
      <c r="BB20" s="162">
        <v>-7.5150943583548416E-2</v>
      </c>
      <c r="BC20" s="128">
        <v>-8.4845561624769375E-2</v>
      </c>
      <c r="BD20" s="128">
        <v>-8.2692197753706634E-2</v>
      </c>
      <c r="BE20" s="128">
        <v>-9.2149243920520402E-2</v>
      </c>
      <c r="BF20" s="128">
        <v>-8.7509222405750015E-2</v>
      </c>
      <c r="BG20" s="128">
        <v>-9.0194603282333433E-2</v>
      </c>
      <c r="BH20" s="128">
        <v>-8.3672126687600767E-2</v>
      </c>
      <c r="BI20" s="128">
        <v>-7.762147482723275E-2</v>
      </c>
      <c r="BJ20" s="128">
        <v>-8.5224965399096714E-2</v>
      </c>
      <c r="BK20" s="128">
        <v>-8.3748516601944767E-2</v>
      </c>
      <c r="BL20" s="128">
        <v>-9.1824545828902204E-2</v>
      </c>
      <c r="BM20" s="128">
        <v>-8.1452960806872976E-2</v>
      </c>
      <c r="BN20" s="128">
        <v>-8.701694827288442E-2</v>
      </c>
      <c r="BO20" s="128">
        <v>-8.6714230817985988E-2</v>
      </c>
      <c r="BP20" s="128">
        <v>-7.9440280944061095E-2</v>
      </c>
      <c r="BQ20" s="128">
        <v>-8.3226580476581588E-2</v>
      </c>
      <c r="BR20" s="128">
        <v>-8.6045617312550338E-2</v>
      </c>
      <c r="BS20" s="129">
        <v>-4.4208972057217834E-2</v>
      </c>
      <c r="BT20" s="107"/>
      <c r="BU20" s="100"/>
      <c r="BV20" s="100"/>
      <c r="BW20" s="100"/>
      <c r="BX20" s="100"/>
      <c r="BY20" s="100"/>
      <c r="BZ20" s="100"/>
      <c r="CA20" s="100"/>
      <c r="CB20" s="100"/>
      <c r="CC20" s="100"/>
      <c r="CD20" s="100"/>
      <c r="CE20" s="100"/>
      <c r="CF20" s="100"/>
      <c r="CG20" s="100"/>
      <c r="CH20" s="100"/>
      <c r="CI20" s="100"/>
      <c r="CJ20" s="100"/>
      <c r="CK20" s="108"/>
      <c r="CL20" s="1"/>
      <c r="DI20" s="3"/>
      <c r="DJ20" s="3"/>
      <c r="DK20" s="3"/>
      <c r="DL20" s="3"/>
      <c r="DM20" s="3"/>
      <c r="DN20" s="3"/>
      <c r="DO20" s="3"/>
      <c r="DP20" s="3"/>
      <c r="DQ20" s="3"/>
      <c r="DR20" s="3"/>
      <c r="DS20" s="3"/>
      <c r="DT20" s="3"/>
      <c r="DU20" s="3"/>
      <c r="DV20" s="3"/>
      <c r="DW20" s="3"/>
      <c r="DX20" s="3"/>
      <c r="DY20" s="3"/>
      <c r="DZ20" s="3"/>
      <c r="EA20" s="3"/>
      <c r="EB20" s="3"/>
      <c r="EC20" s="3"/>
      <c r="ED20" s="3"/>
      <c r="EE20" s="3"/>
      <c r="EF20" s="3"/>
      <c r="EG20" s="3"/>
      <c r="EH20" s="3"/>
      <c r="EI20" s="3"/>
      <c r="EJ20" s="3"/>
      <c r="EK20" s="3"/>
      <c r="EL20" s="3"/>
      <c r="EM20" s="3"/>
      <c r="EN20" s="3"/>
      <c r="EO20" s="3"/>
      <c r="EP20" s="3"/>
      <c r="EQ20" s="3"/>
      <c r="ER20" s="3"/>
      <c r="ES20" s="3"/>
      <c r="ET20" s="3"/>
      <c r="EU20" s="3"/>
      <c r="EV20" s="3"/>
      <c r="EW20" s="3"/>
      <c r="EX20" s="3"/>
      <c r="EY20" s="3"/>
      <c r="EZ20" s="3"/>
      <c r="FA20" s="3"/>
      <c r="FB20" s="3"/>
      <c r="FC20" s="3"/>
      <c r="FD20" s="3"/>
      <c r="FE20" s="3"/>
      <c r="FF20" s="3"/>
      <c r="FG20" s="3"/>
      <c r="FH20" s="3"/>
      <c r="FI20" s="3"/>
      <c r="FJ20" s="3"/>
      <c r="FK20" s="3"/>
      <c r="FL20" s="3"/>
      <c r="FM20" s="3"/>
      <c r="FN20" s="3"/>
      <c r="FO20" s="3"/>
      <c r="FP20" s="3"/>
      <c r="FQ20" s="3"/>
      <c r="FR20" s="3"/>
      <c r="FS20" s="3"/>
      <c r="FT20" s="3"/>
      <c r="FU20" s="3"/>
      <c r="FV20" s="3"/>
      <c r="FW20" s="3"/>
      <c r="FX20" s="3"/>
      <c r="FY20" s="3"/>
      <c r="FZ20" s="3"/>
      <c r="GA20" s="3"/>
      <c r="GB20" s="3"/>
      <c r="GC20" s="3"/>
      <c r="GD20" s="3"/>
      <c r="GE20" s="3"/>
      <c r="GF20" s="3"/>
      <c r="GG20" s="3"/>
      <c r="GH20" s="3"/>
      <c r="GI20" s="3"/>
      <c r="GJ20" s="3"/>
      <c r="GK20" s="3"/>
      <c r="GL20" s="3"/>
      <c r="GM20" s="3"/>
      <c r="GN20" s="3"/>
      <c r="GO20" s="3"/>
      <c r="GP20" s="3"/>
      <c r="GQ20" s="3"/>
      <c r="GR20" s="3"/>
      <c r="GS20" s="3"/>
      <c r="GT20" s="3"/>
      <c r="GU20" s="3"/>
      <c r="GV20" s="3"/>
      <c r="GW20" s="3"/>
      <c r="GX20" s="3"/>
      <c r="GY20" s="3"/>
      <c r="GZ20" s="3"/>
      <c r="HA20" s="3"/>
      <c r="HB20" s="3"/>
      <c r="HC20" s="3"/>
      <c r="HD20" s="3"/>
      <c r="HE20" s="3"/>
      <c r="HF20" s="3"/>
      <c r="HG20" s="3"/>
      <c r="HH20" s="3"/>
      <c r="HI20" s="3"/>
      <c r="HJ20" s="3"/>
      <c r="HK20" s="3"/>
      <c r="HL20" s="3"/>
      <c r="HM20" s="3"/>
      <c r="HN20" s="3"/>
      <c r="HO20" s="3"/>
      <c r="HP20" s="3"/>
    </row>
    <row r="21" spans="1:224" x14ac:dyDescent="0.25">
      <c r="A21" s="158">
        <v>0</v>
      </c>
      <c r="B21" s="10"/>
      <c r="C21" s="10">
        <v>2</v>
      </c>
      <c r="D21" s="76"/>
      <c r="E21" s="81">
        <v>0.14631097035820134</v>
      </c>
      <c r="F21" s="80"/>
      <c r="G21" s="4">
        <v>0.41657161776126478</v>
      </c>
      <c r="H21" s="4">
        <v>0.47502612598375227</v>
      </c>
      <c r="I21" s="4">
        <v>-5.8454508222487461E-2</v>
      </c>
      <c r="J21" s="4">
        <v>1.0483659316536366E-2</v>
      </c>
      <c r="K21" s="7"/>
      <c r="L21" s="7"/>
      <c r="M21" s="7"/>
      <c r="N21" s="7"/>
      <c r="O21" s="81">
        <v>0.26674031710311985</v>
      </c>
      <c r="P21" s="4">
        <v>-2.5878138923188013E-3</v>
      </c>
      <c r="Q21" s="4">
        <v>-1.7099096047098635E-2</v>
      </c>
      <c r="R21" s="7"/>
      <c r="S21" s="7"/>
      <c r="T21" s="80"/>
      <c r="U21" s="6">
        <v>1.7625177835827539</v>
      </c>
      <c r="V21" s="6">
        <v>0.33879508506646266</v>
      </c>
      <c r="W21" s="90">
        <f>IF(ISERR(X21*$AC$1/375),"",(X21*$AC$1/375))</f>
        <v>5.8478665965043593E-2</v>
      </c>
      <c r="X21" s="15">
        <f>IF(ISERR(((($AC$1)^2)*0.002558)*E21*$F$1),"",(((($AC$1)^2)*0.002558)*E21*$F$1))</f>
        <v>0.8771799894756539</v>
      </c>
      <c r="Y21" s="15"/>
      <c r="Z21" s="91"/>
      <c r="AA21" s="90">
        <f t="shared" si="18"/>
        <v>2.4974770271093325</v>
      </c>
      <c r="AB21" s="15">
        <f t="shared" si="18"/>
        <v>2.8479300709369646</v>
      </c>
      <c r="AC21" s="15">
        <f t="shared" si="18"/>
        <v>-0.35045304382763182</v>
      </c>
      <c r="AD21" s="15">
        <f t="shared" si="18"/>
        <v>6.2852813746171923E-2</v>
      </c>
      <c r="AE21" s="15"/>
      <c r="AF21" s="15"/>
      <c r="AG21" s="15"/>
      <c r="AH21" s="91"/>
      <c r="AI21" s="96">
        <f>IF(ISERR(AA21/X21),"",(AA21/X21))</f>
        <v>2.8471659831207878</v>
      </c>
      <c r="AJ21" s="97">
        <f>IF(ISERR(AB21/AA21),"",(AB21/AA21))</f>
        <v>1.1403228298092731</v>
      </c>
      <c r="AK21" s="139">
        <f>IF((ISERROR((Coeff!AB21+TestInfoPage!$B$6)/(Coeff!AA21+TestInfoPage!$B$5))),"",((Coeff!AB21+TestInfoPage!$B$6)/(Coeff!AA21+TestInfoPage!$B$5)))</f>
        <v>1.1403228298092731</v>
      </c>
      <c r="AL21" s="96"/>
      <c r="AM21" s="36"/>
      <c r="AN21" s="142"/>
      <c r="AO21" s="79">
        <f t="shared" si="2"/>
        <v>4.389300831540506E-2</v>
      </c>
      <c r="AP21" s="4">
        <v>2.1957002491132954E-2</v>
      </c>
      <c r="AQ21" s="4">
        <v>4.1423303161751433E-2</v>
      </c>
      <c r="AR21" s="4">
        <v>6.0556563244526511E-2</v>
      </c>
      <c r="AS21" s="4">
        <v>5.1635164364209334E-2</v>
      </c>
      <c r="AT21" s="7"/>
      <c r="AU21" s="7"/>
      <c r="AV21" s="7"/>
      <c r="AW21" s="80"/>
      <c r="AX21" s="81">
        <v>2.4859036641343462E-2</v>
      </c>
      <c r="AY21" s="4" t="s">
        <v>119</v>
      </c>
      <c r="AZ21" s="15"/>
      <c r="BA21" s="91"/>
      <c r="BB21" s="79">
        <v>-7.5675416047453495E-2</v>
      </c>
      <c r="BC21" s="7">
        <v>-7.7919754863955443E-2</v>
      </c>
      <c r="BD21" s="7">
        <v>-7.6537843032505604E-2</v>
      </c>
      <c r="BE21" s="7">
        <v>-9.2390511172482134E-2</v>
      </c>
      <c r="BF21" s="7">
        <v>-8.3781780316814408E-2</v>
      </c>
      <c r="BG21" s="7">
        <v>-8.5372108161624632E-2</v>
      </c>
      <c r="BH21" s="7">
        <v>-8.9467622759097115E-2</v>
      </c>
      <c r="BI21" s="7">
        <v>-7.6246467305375876E-2</v>
      </c>
      <c r="BJ21" s="7">
        <v>-8.1871946550376509E-2</v>
      </c>
      <c r="BK21" s="7">
        <v>-7.8607063905744429E-2</v>
      </c>
      <c r="BL21" s="7">
        <v>-9.2162606820692661E-2</v>
      </c>
      <c r="BM21" s="7">
        <v>-8.0059321262158437E-2</v>
      </c>
      <c r="BN21" s="7">
        <v>-8.056834127761027E-2</v>
      </c>
      <c r="BO21" s="7">
        <v>-9.0997509122906078E-2</v>
      </c>
      <c r="BP21" s="7">
        <v>-7.429809173467769E-2</v>
      </c>
      <c r="BQ21" s="7">
        <v>-8.2298690400682398E-2</v>
      </c>
      <c r="BR21" s="7">
        <v>-8.7536375235062969E-2</v>
      </c>
      <c r="BS21" s="80">
        <v>-4.2262310825952956E-2</v>
      </c>
      <c r="BT21" s="107"/>
      <c r="BU21" s="100"/>
      <c r="BV21" s="100"/>
      <c r="BW21" s="100"/>
      <c r="BX21" s="100"/>
      <c r="BY21" s="100"/>
      <c r="BZ21" s="100"/>
      <c r="CA21" s="100"/>
      <c r="CB21" s="100"/>
      <c r="CC21" s="100"/>
      <c r="CD21" s="100"/>
      <c r="CE21" s="100"/>
      <c r="CF21" s="100"/>
      <c r="CG21" s="100"/>
      <c r="CH21" s="100"/>
      <c r="CI21" s="100"/>
      <c r="CJ21" s="100"/>
      <c r="CK21" s="108"/>
      <c r="CL21" s="1"/>
      <c r="DI21" s="3"/>
      <c r="DJ21" s="3"/>
      <c r="DK21" s="3"/>
      <c r="DL21" s="3"/>
      <c r="DM21" s="3"/>
      <c r="DN21" s="3"/>
      <c r="DO21" s="3"/>
      <c r="DP21" s="3"/>
      <c r="DQ21" s="3"/>
      <c r="DR21" s="3"/>
      <c r="DS21" s="3"/>
      <c r="DT21" s="3"/>
      <c r="DU21" s="3"/>
      <c r="DV21" s="3"/>
      <c r="DW21" s="3"/>
      <c r="DX21" s="3"/>
      <c r="DY21" s="3"/>
      <c r="DZ21" s="3"/>
      <c r="EA21" s="3"/>
      <c r="EB21" s="3"/>
      <c r="EC21" s="3"/>
      <c r="ED21" s="3"/>
      <c r="EE21" s="3"/>
      <c r="EF21" s="3"/>
      <c r="EG21" s="3"/>
      <c r="EH21" s="3"/>
      <c r="EI21" s="3"/>
      <c r="EJ21" s="3"/>
      <c r="EK21" s="3"/>
      <c r="EL21" s="3"/>
      <c r="EM21" s="3"/>
      <c r="EN21" s="3"/>
      <c r="EO21" s="3"/>
      <c r="EP21" s="3"/>
      <c r="EQ21" s="3"/>
      <c r="ER21" s="3"/>
      <c r="ES21" s="3"/>
      <c r="ET21" s="3"/>
      <c r="EU21" s="3"/>
      <c r="EV21" s="3"/>
      <c r="EW21" s="3"/>
      <c r="EX21" s="3"/>
      <c r="EY21" s="3"/>
      <c r="EZ21" s="3"/>
      <c r="FA21" s="3"/>
      <c r="FB21" s="3"/>
      <c r="FC21" s="3"/>
      <c r="FD21" s="3"/>
      <c r="FE21" s="3"/>
      <c r="FF21" s="3"/>
      <c r="FG21" s="3"/>
      <c r="FH21" s="3"/>
      <c r="FI21" s="3"/>
      <c r="FJ21" s="3"/>
      <c r="FK21" s="3"/>
      <c r="FL21" s="3"/>
      <c r="FM21" s="3"/>
      <c r="FN21" s="3"/>
      <c r="FO21" s="3"/>
      <c r="FP21" s="3"/>
      <c r="FQ21" s="3"/>
      <c r="FR21" s="3"/>
      <c r="FS21" s="3"/>
      <c r="FT21" s="3"/>
      <c r="FU21" s="3"/>
      <c r="FV21" s="3"/>
      <c r="FW21" s="3"/>
      <c r="FX21" s="3"/>
      <c r="FY21" s="3"/>
      <c r="FZ21" s="3"/>
      <c r="GA21" s="3"/>
      <c r="GB21" s="3"/>
      <c r="GC21" s="3"/>
      <c r="GD21" s="3"/>
      <c r="GE21" s="3"/>
      <c r="GF21" s="3"/>
      <c r="GG21" s="3"/>
      <c r="GH21" s="3"/>
      <c r="GI21" s="3"/>
      <c r="GJ21" s="3"/>
      <c r="GK21" s="3"/>
      <c r="GL21" s="3"/>
      <c r="GM21" s="3"/>
      <c r="GN21" s="3"/>
      <c r="GO21" s="3"/>
      <c r="GP21" s="3"/>
      <c r="GQ21" s="3"/>
      <c r="GR21" s="3"/>
      <c r="GS21" s="3"/>
      <c r="GT21" s="3"/>
      <c r="GU21" s="3"/>
      <c r="GV21" s="3"/>
      <c r="GW21" s="3"/>
      <c r="GX21" s="3"/>
      <c r="GY21" s="3"/>
      <c r="GZ21" s="3"/>
      <c r="HA21" s="3"/>
      <c r="HB21" s="3"/>
      <c r="HC21" s="3"/>
      <c r="HD21" s="3"/>
      <c r="HE21" s="3"/>
      <c r="HF21" s="3"/>
      <c r="HG21" s="3"/>
      <c r="HH21" s="3"/>
      <c r="HI21" s="3"/>
      <c r="HJ21" s="3"/>
      <c r="HK21" s="3"/>
      <c r="HL21" s="3"/>
      <c r="HM21" s="3"/>
      <c r="HN21" s="3"/>
      <c r="HO21" s="3"/>
      <c r="HP21" s="3"/>
    </row>
    <row r="22" spans="1:224" ht="13.5" customHeight="1" x14ac:dyDescent="0.25">
      <c r="A22" s="158">
        <v>0</v>
      </c>
      <c r="B22" s="10"/>
      <c r="C22" s="10">
        <v>3</v>
      </c>
      <c r="D22" s="76"/>
      <c r="E22" s="81" t="s">
        <v>119</v>
      </c>
      <c r="F22" s="80"/>
      <c r="G22" s="4" t="s">
        <v>119</v>
      </c>
      <c r="H22" s="4" t="s">
        <v>119</v>
      </c>
      <c r="I22" s="4" t="s">
        <v>119</v>
      </c>
      <c r="J22" s="4" t="s">
        <v>119</v>
      </c>
      <c r="K22" s="7"/>
      <c r="L22" s="7"/>
      <c r="M22" s="7"/>
      <c r="N22" s="7"/>
      <c r="O22" s="81" t="s">
        <v>119</v>
      </c>
      <c r="P22" s="4" t="s">
        <v>119</v>
      </c>
      <c r="Q22" s="4" t="s">
        <v>119</v>
      </c>
      <c r="R22" s="7"/>
      <c r="S22" s="7"/>
      <c r="T22" s="80"/>
      <c r="U22" s="6" t="s">
        <v>119</v>
      </c>
      <c r="V22" s="6" t="s">
        <v>119</v>
      </c>
      <c r="W22" s="90" t="str">
        <f>IF(ISERR(X22*$AC$1/375),"",(X22*$AC$1/375))</f>
        <v/>
      </c>
      <c r="X22" s="15" t="str">
        <f>IF(ISERR(((($AC$1)^2)*0.002558)*E22*$F$1),"",(((($AC$1)^2)*0.002558)*E22*$F$1))</f>
        <v/>
      </c>
      <c r="Y22" s="15"/>
      <c r="Z22" s="91"/>
      <c r="AA22" s="90" t="str">
        <f t="shared" si="18"/>
        <v/>
      </c>
      <c r="AB22" s="15" t="str">
        <f t="shared" si="18"/>
        <v/>
      </c>
      <c r="AC22" s="15" t="str">
        <f t="shared" si="18"/>
        <v/>
      </c>
      <c r="AD22" s="15" t="str">
        <f t="shared" si="18"/>
        <v/>
      </c>
      <c r="AE22" s="15"/>
      <c r="AF22" s="15"/>
      <c r="AG22" s="15"/>
      <c r="AH22" s="91"/>
      <c r="AI22" s="96" t="str">
        <f>IF(ISERR(AA22/X22),"",(AA22/X22))</f>
        <v/>
      </c>
      <c r="AJ22" s="97" t="str">
        <f>IF(ISERR(AB22/AA22),"",(AB22/AA22))</f>
        <v/>
      </c>
      <c r="AK22" s="139" t="str">
        <f>IF((ISERROR((Coeff!AB22+TestInfoPage!$B$6)/(Coeff!AA22+TestInfoPage!$B$5))),"",((Coeff!AB22+TestInfoPage!$B$6)/(Coeff!AA22+TestInfoPage!$B$5)))</f>
        <v/>
      </c>
      <c r="AL22" s="96"/>
      <c r="AM22" s="36"/>
      <c r="AN22" s="142"/>
      <c r="AO22" s="79" t="str">
        <f t="shared" si="2"/>
        <v/>
      </c>
      <c r="AP22" s="4" t="s">
        <v>119</v>
      </c>
      <c r="AQ22" s="4" t="s">
        <v>119</v>
      </c>
      <c r="AR22" s="4" t="s">
        <v>119</v>
      </c>
      <c r="AS22" s="4" t="s">
        <v>119</v>
      </c>
      <c r="AT22" s="7"/>
      <c r="AU22" s="7"/>
      <c r="AV22" s="7"/>
      <c r="AW22" s="80"/>
      <c r="AX22" s="81" t="s">
        <v>119</v>
      </c>
      <c r="AY22" s="4" t="s">
        <v>119</v>
      </c>
      <c r="AZ22" s="15"/>
      <c r="BA22" s="91"/>
      <c r="BB22" s="79" t="s">
        <v>119</v>
      </c>
      <c r="BC22" s="7" t="s">
        <v>119</v>
      </c>
      <c r="BD22" s="7" t="s">
        <v>119</v>
      </c>
      <c r="BE22" s="7" t="s">
        <v>119</v>
      </c>
      <c r="BF22" s="7" t="s">
        <v>119</v>
      </c>
      <c r="BG22" s="7" t="s">
        <v>119</v>
      </c>
      <c r="BH22" s="7" t="s">
        <v>119</v>
      </c>
      <c r="BI22" s="7" t="s">
        <v>119</v>
      </c>
      <c r="BJ22" s="7" t="s">
        <v>119</v>
      </c>
      <c r="BK22" s="7" t="s">
        <v>119</v>
      </c>
      <c r="BL22" s="7" t="s">
        <v>119</v>
      </c>
      <c r="BM22" s="7" t="s">
        <v>119</v>
      </c>
      <c r="BN22" s="7" t="s">
        <v>119</v>
      </c>
      <c r="BO22" s="7" t="s">
        <v>119</v>
      </c>
      <c r="BP22" s="7" t="s">
        <v>119</v>
      </c>
      <c r="BQ22" s="7" t="s">
        <v>119</v>
      </c>
      <c r="BR22" s="7" t="s">
        <v>119</v>
      </c>
      <c r="BS22" s="80" t="s">
        <v>119</v>
      </c>
      <c r="BT22" s="107"/>
      <c r="BU22" s="100"/>
      <c r="BV22" s="100"/>
      <c r="BW22" s="100"/>
      <c r="BX22" s="100"/>
      <c r="BY22" s="100"/>
      <c r="BZ22" s="100"/>
      <c r="CA22" s="100"/>
      <c r="CB22" s="100"/>
      <c r="CC22" s="100"/>
      <c r="CD22" s="100"/>
      <c r="CE22" s="100"/>
      <c r="CF22" s="100"/>
      <c r="CG22" s="100"/>
      <c r="CH22" s="100"/>
      <c r="CI22" s="100"/>
      <c r="CJ22" s="100"/>
      <c r="CK22" s="108"/>
      <c r="CL22" s="1"/>
      <c r="DI22" s="3"/>
      <c r="DJ22" s="3"/>
      <c r="DK22" s="3"/>
      <c r="DL22" s="3"/>
      <c r="DM22" s="3"/>
      <c r="DN22" s="3"/>
      <c r="DO22" s="3"/>
      <c r="DP22" s="3"/>
      <c r="DQ22" s="3"/>
      <c r="DR22" s="3"/>
      <c r="DS22" s="3"/>
      <c r="DT22" s="3"/>
      <c r="DU22" s="3"/>
      <c r="DV22" s="3"/>
      <c r="DW22" s="3"/>
      <c r="DX22" s="3"/>
      <c r="DY22" s="3"/>
      <c r="DZ22" s="3"/>
      <c r="EA22" s="3"/>
      <c r="EB22" s="3"/>
      <c r="EC22" s="3"/>
      <c r="ED22" s="3"/>
      <c r="EE22" s="3"/>
      <c r="EF22" s="3"/>
      <c r="EG22" s="3"/>
      <c r="EH22" s="3"/>
      <c r="EI22" s="3"/>
      <c r="EJ22" s="3"/>
      <c r="EK22" s="3"/>
      <c r="EL22" s="3"/>
      <c r="EM22" s="3"/>
      <c r="EN22" s="3"/>
      <c r="EO22" s="3"/>
      <c r="EP22" s="3"/>
      <c r="EQ22" s="3"/>
      <c r="ER22" s="3"/>
      <c r="ES22" s="3"/>
      <c r="ET22" s="3"/>
      <c r="EU22" s="3"/>
      <c r="EV22" s="3"/>
      <c r="EW22" s="3"/>
      <c r="EX22" s="3"/>
      <c r="EY22" s="3"/>
      <c r="EZ22" s="3"/>
      <c r="FA22" s="3"/>
      <c r="FB22" s="3"/>
      <c r="FC22" s="3"/>
      <c r="FD22" s="3"/>
      <c r="FE22" s="3"/>
      <c r="FF22" s="3"/>
      <c r="FG22" s="3"/>
      <c r="FH22" s="3"/>
      <c r="FI22" s="3"/>
      <c r="FJ22" s="3"/>
      <c r="FK22" s="3"/>
      <c r="FL22" s="3"/>
      <c r="FM22" s="3"/>
      <c r="FN22" s="3"/>
      <c r="FO22" s="3"/>
      <c r="FP22" s="3"/>
      <c r="FQ22" s="3"/>
      <c r="FR22" s="3"/>
      <c r="FS22" s="3"/>
      <c r="FT22" s="3"/>
      <c r="FU22" s="3"/>
      <c r="FV22" s="3"/>
      <c r="FW22" s="3"/>
      <c r="FX22" s="3"/>
      <c r="FY22" s="3"/>
      <c r="FZ22" s="3"/>
      <c r="GA22" s="3"/>
      <c r="GB22" s="3"/>
      <c r="GC22" s="3"/>
      <c r="GD22" s="3"/>
      <c r="GE22" s="3"/>
      <c r="GF22" s="3"/>
      <c r="GG22" s="3"/>
      <c r="GH22" s="3"/>
      <c r="GI22" s="3"/>
      <c r="GJ22" s="3"/>
      <c r="GK22" s="3"/>
      <c r="GL22" s="3"/>
      <c r="GM22" s="3"/>
      <c r="GN22" s="3"/>
      <c r="GO22" s="3"/>
      <c r="GP22" s="3"/>
      <c r="GQ22" s="3"/>
      <c r="GR22" s="3"/>
      <c r="GS22" s="3"/>
      <c r="GT22" s="3"/>
      <c r="GU22" s="3"/>
      <c r="GV22" s="3"/>
      <c r="GW22" s="3"/>
      <c r="GX22" s="3"/>
      <c r="GY22" s="3"/>
      <c r="GZ22" s="3"/>
      <c r="HA22" s="3"/>
      <c r="HB22" s="3"/>
      <c r="HC22" s="3"/>
      <c r="HD22" s="3"/>
      <c r="HE22" s="3"/>
      <c r="HF22" s="3"/>
      <c r="HG22" s="3"/>
      <c r="HH22" s="3"/>
      <c r="HI22" s="3"/>
      <c r="HJ22" s="3"/>
      <c r="HK22" s="3"/>
      <c r="HL22" s="3"/>
      <c r="HM22" s="3"/>
      <c r="HN22" s="3"/>
      <c r="HO22" s="3"/>
      <c r="HP22" s="3"/>
    </row>
    <row r="23" spans="1:224" ht="13.5" customHeight="1" thickBot="1" x14ac:dyDescent="0.3">
      <c r="A23" s="158">
        <v>0</v>
      </c>
      <c r="B23" s="10"/>
      <c r="C23" s="10">
        <v>4</v>
      </c>
      <c r="D23" s="76"/>
      <c r="E23" s="81" t="s">
        <v>119</v>
      </c>
      <c r="F23" s="80"/>
      <c r="G23" s="4" t="s">
        <v>119</v>
      </c>
      <c r="H23" s="4" t="s">
        <v>119</v>
      </c>
      <c r="I23" s="4" t="s">
        <v>119</v>
      </c>
      <c r="J23" s="4" t="s">
        <v>119</v>
      </c>
      <c r="K23" s="7"/>
      <c r="L23" s="7"/>
      <c r="M23" s="7"/>
      <c r="N23" s="7"/>
      <c r="O23" s="81" t="s">
        <v>119</v>
      </c>
      <c r="P23" s="4" t="s">
        <v>119</v>
      </c>
      <c r="Q23" s="4" t="s">
        <v>119</v>
      </c>
      <c r="R23" s="7"/>
      <c r="S23" s="7"/>
      <c r="T23" s="80"/>
      <c r="U23" s="6" t="s">
        <v>119</v>
      </c>
      <c r="V23" s="6" t="s">
        <v>119</v>
      </c>
      <c r="W23" s="90" t="str">
        <f>IF(ISERR(X23*$AC$1/375),"",(X23*$AC$1/375))</f>
        <v/>
      </c>
      <c r="X23" s="15" t="str">
        <f>IF(ISERR(((($AC$1)^2)*0.002558)*E23*$F$1),"",(((($AC$1)^2)*0.002558)*E23*$F$1))</f>
        <v/>
      </c>
      <c r="Y23" s="15"/>
      <c r="Z23" s="91"/>
      <c r="AA23" s="90" t="str">
        <f t="shared" si="18"/>
        <v/>
      </c>
      <c r="AB23" s="15" t="str">
        <f t="shared" si="18"/>
        <v/>
      </c>
      <c r="AC23" s="15" t="str">
        <f t="shared" si="18"/>
        <v/>
      </c>
      <c r="AD23" s="15" t="str">
        <f t="shared" si="18"/>
        <v/>
      </c>
      <c r="AE23" s="15"/>
      <c r="AF23" s="15"/>
      <c r="AG23" s="15"/>
      <c r="AH23" s="91"/>
      <c r="AI23" s="96" t="str">
        <f>IF(ISERR(AA23/X23),"",(AA23/X23))</f>
        <v/>
      </c>
      <c r="AJ23" s="97" t="str">
        <f>IF(ISERR(AB23/AA23),"",(AB23/AA23))</f>
        <v/>
      </c>
      <c r="AK23" s="139" t="str">
        <f>IF((ISERROR((Coeff!AB23+TestInfoPage!$B$6)/(Coeff!AA23+TestInfoPage!$B$5))),"",((Coeff!AB23+TestInfoPage!$B$6)/(Coeff!AA23+TestInfoPage!$B$5)))</f>
        <v/>
      </c>
      <c r="AL23" s="96"/>
      <c r="AM23" s="36"/>
      <c r="AN23" s="142"/>
      <c r="AO23" s="79" t="str">
        <f t="shared" si="2"/>
        <v/>
      </c>
      <c r="AP23" s="4" t="s">
        <v>119</v>
      </c>
      <c r="AQ23" s="4" t="s">
        <v>119</v>
      </c>
      <c r="AR23" s="4" t="s">
        <v>119</v>
      </c>
      <c r="AS23" s="4" t="s">
        <v>119</v>
      </c>
      <c r="AT23" s="7"/>
      <c r="AU23" s="7"/>
      <c r="AV23" s="7"/>
      <c r="AW23" s="80"/>
      <c r="AX23" s="81" t="s">
        <v>119</v>
      </c>
      <c r="AY23" s="4" t="s">
        <v>119</v>
      </c>
      <c r="AZ23" s="15"/>
      <c r="BA23" s="91"/>
      <c r="BB23" s="163" t="s">
        <v>119</v>
      </c>
      <c r="BC23" s="157" t="s">
        <v>119</v>
      </c>
      <c r="BD23" s="157" t="s">
        <v>119</v>
      </c>
      <c r="BE23" s="157" t="s">
        <v>119</v>
      </c>
      <c r="BF23" s="157" t="s">
        <v>119</v>
      </c>
      <c r="BG23" s="157" t="s">
        <v>119</v>
      </c>
      <c r="BH23" s="157" t="s">
        <v>119</v>
      </c>
      <c r="BI23" s="157" t="s">
        <v>119</v>
      </c>
      <c r="BJ23" s="157" t="s">
        <v>119</v>
      </c>
      <c r="BK23" s="157" t="s">
        <v>119</v>
      </c>
      <c r="BL23" s="157" t="s">
        <v>119</v>
      </c>
      <c r="BM23" s="157" t="s">
        <v>119</v>
      </c>
      <c r="BN23" s="157" t="s">
        <v>119</v>
      </c>
      <c r="BO23" s="157" t="s">
        <v>119</v>
      </c>
      <c r="BP23" s="157" t="s">
        <v>119</v>
      </c>
      <c r="BQ23" s="157" t="s">
        <v>119</v>
      </c>
      <c r="BR23" s="157" t="s">
        <v>119</v>
      </c>
      <c r="BS23" s="84" t="s">
        <v>119</v>
      </c>
      <c r="BT23" s="107"/>
      <c r="BU23" s="100"/>
      <c r="BV23" s="100"/>
      <c r="BW23" s="100"/>
      <c r="BX23" s="100"/>
      <c r="BY23" s="100"/>
      <c r="BZ23" s="100"/>
      <c r="CA23" s="100"/>
      <c r="CB23" s="100"/>
      <c r="CC23" s="100"/>
      <c r="CD23" s="100"/>
      <c r="CE23" s="100"/>
      <c r="CF23" s="100"/>
      <c r="CG23" s="100"/>
      <c r="CH23" s="100"/>
      <c r="CI23" s="100"/>
      <c r="CJ23" s="100"/>
      <c r="CK23" s="108"/>
      <c r="CL23" s="1"/>
      <c r="DI23" s="3"/>
      <c r="DJ23" s="3"/>
      <c r="DK23" s="3"/>
      <c r="DL23" s="3"/>
      <c r="DM23" s="3"/>
      <c r="DN23" s="3"/>
      <c r="DO23" s="3"/>
      <c r="DP23" s="3"/>
      <c r="DQ23" s="3"/>
      <c r="DR23" s="3"/>
      <c r="DS23" s="3"/>
      <c r="DT23" s="3"/>
      <c r="DU23" s="3"/>
      <c r="DV23" s="3"/>
      <c r="DW23" s="3"/>
      <c r="DX23" s="3"/>
      <c r="DY23" s="3"/>
      <c r="DZ23" s="3"/>
      <c r="EA23" s="3"/>
      <c r="EB23" s="3"/>
      <c r="EC23" s="3"/>
      <c r="ED23" s="3"/>
      <c r="EE23" s="3"/>
      <c r="EF23" s="3"/>
      <c r="EG23" s="3"/>
      <c r="EH23" s="3"/>
      <c r="EI23" s="3"/>
      <c r="EJ23" s="3"/>
      <c r="EK23" s="3"/>
      <c r="EL23" s="3"/>
      <c r="EM23" s="3"/>
      <c r="EN23" s="3"/>
      <c r="EO23" s="3"/>
      <c r="EP23" s="3"/>
      <c r="EQ23" s="3"/>
      <c r="ER23" s="3"/>
      <c r="ES23" s="3"/>
      <c r="ET23" s="3"/>
      <c r="EU23" s="3"/>
      <c r="EV23" s="3"/>
      <c r="EW23" s="3"/>
      <c r="EX23" s="3"/>
      <c r="EY23" s="3"/>
      <c r="EZ23" s="3"/>
      <c r="FA23" s="3"/>
      <c r="FB23" s="3"/>
      <c r="FC23" s="3"/>
      <c r="FD23" s="3"/>
      <c r="FE23" s="3"/>
      <c r="FF23" s="3"/>
      <c r="FG23" s="3"/>
      <c r="FH23" s="3"/>
      <c r="FI23" s="3"/>
      <c r="FJ23" s="3"/>
      <c r="FK23" s="3"/>
      <c r="FL23" s="3"/>
      <c r="FM23" s="3"/>
      <c r="FN23" s="3"/>
      <c r="FO23" s="3"/>
      <c r="FP23" s="3"/>
      <c r="FQ23" s="3"/>
      <c r="FR23" s="3"/>
      <c r="FS23" s="3"/>
      <c r="FT23" s="3"/>
      <c r="FU23" s="3"/>
      <c r="FV23" s="3"/>
      <c r="FW23" s="3"/>
      <c r="FX23" s="3"/>
      <c r="FY23" s="3"/>
      <c r="FZ23" s="3"/>
      <c r="GA23" s="3"/>
      <c r="GB23" s="3"/>
      <c r="GC23" s="3"/>
      <c r="GD23" s="3"/>
      <c r="GE23" s="3"/>
      <c r="GF23" s="3"/>
      <c r="GG23" s="3"/>
      <c r="GH23" s="3"/>
      <c r="GI23" s="3"/>
      <c r="GJ23" s="3"/>
      <c r="GK23" s="3"/>
      <c r="GL23" s="3"/>
      <c r="GM23" s="3"/>
      <c r="GN23" s="3"/>
      <c r="GO23" s="3"/>
      <c r="GP23" s="3"/>
      <c r="GQ23" s="3"/>
      <c r="GR23" s="3"/>
      <c r="GS23" s="3"/>
      <c r="GT23" s="3"/>
      <c r="GU23" s="3"/>
      <c r="GV23" s="3"/>
      <c r="GW23" s="3"/>
      <c r="GX23" s="3"/>
      <c r="GY23" s="3"/>
      <c r="GZ23" s="3"/>
      <c r="HA23" s="3"/>
      <c r="HB23" s="3"/>
      <c r="HC23" s="3"/>
      <c r="HD23" s="3"/>
      <c r="HE23" s="3"/>
      <c r="HF23" s="3"/>
      <c r="HG23" s="3"/>
      <c r="HH23" s="3"/>
      <c r="HI23" s="3"/>
      <c r="HJ23" s="3"/>
      <c r="HK23" s="3"/>
      <c r="HL23" s="3"/>
      <c r="HM23" s="3"/>
      <c r="HN23" s="3"/>
      <c r="HO23" s="3"/>
      <c r="HP23" s="3"/>
    </row>
    <row r="24" spans="1:224" ht="14.25" thickBot="1" x14ac:dyDescent="0.3">
      <c r="A24" s="158" t="s">
        <v>127</v>
      </c>
      <c r="B24" s="9">
        <f>B19+1</f>
        <v>5</v>
      </c>
      <c r="C24" s="66" t="s">
        <v>56</v>
      </c>
      <c r="D24" s="75">
        <v>4</v>
      </c>
      <c r="E24" s="82">
        <f>IF(ISERR(AVERAGE(E25:E28)),"",AVERAGE(E25:E28))</f>
        <v>0.14634990462423036</v>
      </c>
      <c r="F24" s="78">
        <f>IF($D24="","",E24-VLOOKUP($D24,$B$4:$BS$990,4,FALSE))</f>
        <v>-9.1456201061212994E-6</v>
      </c>
      <c r="G24" s="44">
        <f t="shared" ref="G24:Q24" si="19">IF(ISERR(AVERAGE(G25:G28)),"",AVERAGE(G25:G28))</f>
        <v>0.60869289811483851</v>
      </c>
      <c r="H24" s="8">
        <f t="shared" si="19"/>
        <v>0.60910780510010143</v>
      </c>
      <c r="I24" s="8">
        <f t="shared" si="19"/>
        <v>-4.1490698526294723E-4</v>
      </c>
      <c r="J24" s="44">
        <f>IF(ISERR(AVERAGE(J25:J28)),"",AVERAGE(J25:J28))</f>
        <v>1.8831740835046622E-2</v>
      </c>
      <c r="K24" s="56">
        <f>IF($D24="","",G24-VLOOKUP($D24,$B$4:$BS$990,6,FALSE))</f>
        <v>0.17556282926477107</v>
      </c>
      <c r="L24" s="56">
        <f>IF($D24="","",H24-VLOOKUP($D24,$B$4:$BS$990,7,FALSE))</f>
        <v>0.15775316980451959</v>
      </c>
      <c r="M24" s="56">
        <f>IF($D24="","",I24-VLOOKUP($D24,$B$4:$BS$990,8,FALSE))</f>
        <v>1.780965946025144E-2</v>
      </c>
      <c r="N24" s="74">
        <f>IF($D24="","",J24-VLOOKUP($D24,$B$4:$BS$990,9,FALSE))</f>
        <v>2.2888746408209981E-2</v>
      </c>
      <c r="O24" s="82">
        <f t="shared" si="19"/>
        <v>0.30476135604268217</v>
      </c>
      <c r="P24" s="8">
        <f t="shared" si="19"/>
        <v>-1.8129612089595279E-2</v>
      </c>
      <c r="Q24" s="8">
        <f t="shared" si="19"/>
        <v>-4.0931441616496745E-3</v>
      </c>
      <c r="R24" s="56">
        <f>IF($D24="","",O24-VLOOKUP($D24,$B$4:$BS$990,14,FALSE))</f>
        <v>6.9971755172134054E-2</v>
      </c>
      <c r="S24" s="56">
        <f>IF($D24="","",P24-VLOOKUP($D24,$B$4:$BS$990,15,FALSE))</f>
        <v>-1.9770293363340272E-2</v>
      </c>
      <c r="T24" s="78">
        <f>IF($D24="","",Q24-VLOOKUP($D24,$B$4:$BS$990,16,FALSE))</f>
        <v>3.4816874732406756E-3</v>
      </c>
      <c r="U24" s="44">
        <f t="shared" ref="U24:AS24" si="20">IF(ISERR(AVERAGE(U25:U28)),"",AVERAGE(U25:U28))</f>
        <v>1.7678625616405932</v>
      </c>
      <c r="V24" s="11">
        <f t="shared" si="20"/>
        <v>0.33982247018202516</v>
      </c>
      <c r="W24" s="88">
        <f t="shared" si="20"/>
        <v>5.8494227504497065E-2</v>
      </c>
      <c r="X24" s="32">
        <f t="shared" si="20"/>
        <v>0.87741341256745597</v>
      </c>
      <c r="Y24" s="71">
        <f>IF($D24="","",W24-VLOOKUP($D24,$B$4:$BS$990,22,FALSE))</f>
        <v>-3.6553900361682712E-6</v>
      </c>
      <c r="Z24" s="89">
        <f>IF($D24="","",X24-VLOOKUP($D24,$B$4:$BS$990,23,FALSE))</f>
        <v>-5.4830850542586518E-5</v>
      </c>
      <c r="AA24" s="88">
        <f t="shared" si="20"/>
        <v>3.6493041407291171</v>
      </c>
      <c r="AB24" s="31">
        <f t="shared" si="20"/>
        <v>3.6517916377642017</v>
      </c>
      <c r="AC24" s="31">
        <f t="shared" si="20"/>
        <v>-2.4874970350842636E-3</v>
      </c>
      <c r="AD24" s="32">
        <f>IF(ISERR(AVERAGE(AD25:AD28)),"",AVERAGE(AD25:AD28))</f>
        <v>0.11290217122511545</v>
      </c>
      <c r="AE24" s="71">
        <f>IF($D24="","",AA24-VLOOKUP($D24,$B$4:$BS$990,26,FALSE))</f>
        <v>1.0525540248264473</v>
      </c>
      <c r="AF24" s="71">
        <f>IF($D24="","",AB24-VLOOKUP($D24,$B$4:$BS$990,27,FALSE))</f>
        <v>0.94577955084365861</v>
      </c>
      <c r="AG24" s="92">
        <f>IF($D24="","",AC24-VLOOKUP($D24,$B$4:$BS$990,28,FALSE))</f>
        <v>0.10677447398278871</v>
      </c>
      <c r="AH24" s="89">
        <f>IF($D24="","",AD24-VLOOKUP($D24,$B$4:$BS$990,29,FALSE))</f>
        <v>0.13722518745047141</v>
      </c>
      <c r="AI24" s="95">
        <f t="shared" si="20"/>
        <v>4.1591209307287</v>
      </c>
      <c r="AJ24" s="35">
        <f t="shared" si="20"/>
        <v>1.0008805525386744</v>
      </c>
      <c r="AK24" s="138">
        <f>IF((ISERROR((Coeff!AB24+TestInfoPage!$B$6)/(Coeff!AA24+TestInfoPage!$B$5))),"",((Coeff!AB24+TestInfoPage!$B$6)/(Coeff!AA24+TestInfoPage!$B$5)))</f>
        <v>1.0006816359884401</v>
      </c>
      <c r="AL24" s="135">
        <f>IF($D24="","",AI24-VLOOKUP($D24,$B$4:$BS$990,34,FALSE))</f>
        <v>1.1997912868770984</v>
      </c>
      <c r="AM24" s="72">
        <f>IF($D24="","",AJ24-VLOOKUP($D24,$B$4:$BS$990,35,FALSE))</f>
        <v>-4.4813509569797905E-2</v>
      </c>
      <c r="AN24" s="115">
        <f>IF($D24="","",AK24-VLOOKUP($D24,$B$4:$BS$990,36,FALSE))</f>
        <v>-4.1394792678587145E-2</v>
      </c>
      <c r="AO24" s="134">
        <f t="shared" si="2"/>
        <v>3.1086055812469503E-2</v>
      </c>
      <c r="AP24" s="44" t="str">
        <f t="shared" si="20"/>
        <v/>
      </c>
      <c r="AQ24" s="8" t="str">
        <f t="shared" si="20"/>
        <v/>
      </c>
      <c r="AR24" s="11">
        <f t="shared" si="20"/>
        <v>2.4477647932987946E-2</v>
      </c>
      <c r="AS24" s="11">
        <f t="shared" si="20"/>
        <v>3.7694463691951063E-2</v>
      </c>
      <c r="AT24" s="56" t="str">
        <f>IF(ISERR(AP24-VLOOKUP($D24,$B$4:$BS$990,41,FALSE)),"",(AP24-VLOOKUP($D24,$B$4:$BS$990,41,FALSE)))</f>
        <v/>
      </c>
      <c r="AU24" s="56" t="str">
        <f>IF(ISERR(AQ24-VLOOKUP($D24,$B$4:$BS$990,42,FALSE)),"",(AQ24-VLOOKUP($D24,$B$4:$BS$990,42,FALSE)))</f>
        <v/>
      </c>
      <c r="AV24" s="74">
        <f>IF(ISERR(AR24-VLOOKUP($D24,$B$4:$BS$990,43,FALSE)),"",AR24-VLOOKUP($D24,$B$4:$BS$990,43,FALSE))</f>
        <v>-2.1624965633094673E-2</v>
      </c>
      <c r="AW24" s="74">
        <f>IF(ISERR(AS24-VLOOKUP($D24,$B$4:$BS$990,44,FALSE)),"",AS24-VLOOKUP($D24,$B$4:$BS$990,44,FALSE))</f>
        <v>-6.9865627012294373E-4</v>
      </c>
      <c r="AX24" s="82" t="str">
        <f t="shared" ref="AX24:AY24" si="21">IF(ISERR(AVERAGE(AX25:AX28)),"",AVERAGE(AX25:AX28))</f>
        <v/>
      </c>
      <c r="AY24" s="11">
        <f t="shared" si="21"/>
        <v>3.2113781133427055E-2</v>
      </c>
      <c r="AZ24" s="89" t="str">
        <f>IF(ISERR(AX24-VLOOKUP($D24,$B$4:$BS$990,49,FALSE)),"",(AX24-VLOOKUP($D24,$B$4:$BS$990,49,FALSE)))</f>
        <v/>
      </c>
      <c r="BA24" s="89">
        <f>IF(ISERR(AY24-VLOOKUP($D24,$B$4:$BS$990,50,FALSE)),"",(AY24-VLOOKUP($D24,$B$4:$BS$990,50,FALSE)))</f>
        <v>1.1953228294202808E-2</v>
      </c>
      <c r="BB24" s="82">
        <f t="shared" ref="BB24:BS24" si="22">IF(ISERR(AVERAGE(BB25:BB28)),"",AVERAGE(BB25:BB28))</f>
        <v>-8.2748080373745675E-2</v>
      </c>
      <c r="BC24" s="8">
        <f t="shared" si="22"/>
        <v>-8.8489364760502148E-2</v>
      </c>
      <c r="BD24" s="8">
        <f t="shared" si="22"/>
        <v>-8.4569463023777144E-2</v>
      </c>
      <c r="BE24" s="8">
        <f t="shared" si="22"/>
        <v>-8.8756811077750519E-2</v>
      </c>
      <c r="BF24" s="8">
        <f t="shared" si="22"/>
        <v>-8.3153421780533587E-2</v>
      </c>
      <c r="BG24" s="8">
        <f t="shared" si="22"/>
        <v>-7.8171893067610909E-2</v>
      </c>
      <c r="BH24" s="8">
        <f t="shared" si="22"/>
        <v>-8.7917673962755127E-2</v>
      </c>
      <c r="BI24" s="8">
        <f t="shared" si="22"/>
        <v>-9.1918400185522137E-2</v>
      </c>
      <c r="BJ24" s="8">
        <f t="shared" si="22"/>
        <v>-8.0426918457898233E-2</v>
      </c>
      <c r="BK24" s="8">
        <f t="shared" si="22"/>
        <v>-8.3413237602577212E-2</v>
      </c>
      <c r="BL24" s="8">
        <f t="shared" si="22"/>
        <v>-8.9004554311687273E-2</v>
      </c>
      <c r="BM24" s="8">
        <f t="shared" si="22"/>
        <v>-9.0516848256811541E-2</v>
      </c>
      <c r="BN24" s="8">
        <f t="shared" si="22"/>
        <v>-8.8550750869180947E-2</v>
      </c>
      <c r="BO24" s="8">
        <f t="shared" si="22"/>
        <v>-7.5706752546944978E-2</v>
      </c>
      <c r="BP24" s="8">
        <f t="shared" si="22"/>
        <v>-8.4357248536403084E-2</v>
      </c>
      <c r="BQ24" s="8">
        <f t="shared" si="22"/>
        <v>-8.7887221062965593E-2</v>
      </c>
      <c r="BR24" s="8">
        <f t="shared" si="22"/>
        <v>-8.7267036425365097E-2</v>
      </c>
      <c r="BS24" s="103">
        <f t="shared" si="22"/>
        <v>-6.9303517509808302E-2</v>
      </c>
      <c r="BT24" s="106">
        <f>IF($D24="","",BB24-VLOOKUP($D24,$B$4:$BS$990,53,FALSE))</f>
        <v>-7.3349005582447196E-3</v>
      </c>
      <c r="BU24" s="56">
        <f>IF($D24="","",BC24-VLOOKUP($D24,$B$4:$BS$990,54,FALSE))</f>
        <v>-7.1067065161397325E-3</v>
      </c>
      <c r="BV24" s="56">
        <f>IF($D24="","",BD24-VLOOKUP($D24,$B$4:$BS$990,55,FALSE))</f>
        <v>-4.9544426306710326E-3</v>
      </c>
      <c r="BW24" s="56">
        <f>IF($D24="","",BE24-VLOOKUP($D24,$B$4:$BS$990,56,FALSE))</f>
        <v>3.5130664687507418E-3</v>
      </c>
      <c r="BX24" s="56">
        <f>IF($D24="","",BF24-VLOOKUP($D24,$B$4:$BS$990,57,FALSE))</f>
        <v>2.492079580748624E-3</v>
      </c>
      <c r="BY24" s="56">
        <f>IF($D24="","",BG24-VLOOKUP($D24,$B$4:$BS$990,58,FALSE))</f>
        <v>9.6114626543681303E-3</v>
      </c>
      <c r="BZ24" s="56">
        <f>IF($D24="","",BH24-VLOOKUP($D24,$B$4:$BS$990,59,FALSE))</f>
        <v>-1.3477992394061861E-3</v>
      </c>
      <c r="CA24" s="56">
        <f>IF($D24="","",BI24-VLOOKUP($D24,$B$4:$BS$990,60,FALSE))</f>
        <v>-1.4984429119217824E-2</v>
      </c>
      <c r="CB24" s="56">
        <f>IF($D24="","",BJ24-VLOOKUP($D24,$B$4:$BS$990,61,FALSE))</f>
        <v>3.1215375168383852E-3</v>
      </c>
      <c r="CC24" s="56">
        <f>IF($D24="","",BK24-VLOOKUP($D24,$B$4:$BS$990,62,FALSE))</f>
        <v>-2.2354473487326137E-3</v>
      </c>
      <c r="CD24" s="56">
        <f>IF($D24="","",BL24-VLOOKUP($D24,$B$4:$BS$990,63,FALSE))</f>
        <v>2.9890220131101597E-3</v>
      </c>
      <c r="CE24" s="56">
        <f>IF($D24="","",BM24-VLOOKUP($D24,$B$4:$BS$990,64,FALSE))</f>
        <v>-9.7607072222958419E-3</v>
      </c>
      <c r="CF24" s="56">
        <f>IF($D24="","",BN24-VLOOKUP($D24,$B$4:$BS$990,65,FALSE))</f>
        <v>-4.7581060939336089E-3</v>
      </c>
      <c r="CG24" s="56">
        <f>IF($D24="","",BO24-VLOOKUP($D24,$B$4:$BS$990,66,FALSE))</f>
        <v>1.3149117423501056E-2</v>
      </c>
      <c r="CH24" s="56">
        <f>IF($D24="","",BP24-VLOOKUP($D24,$B$4:$BS$990,67,FALSE))</f>
        <v>-7.4880621970336847E-3</v>
      </c>
      <c r="CI24" s="56">
        <f>IF($D24="","",BQ24-VLOOKUP($D24,$B$4:$BS$990,68,FALSE))</f>
        <v>-5.1245856243335997E-3</v>
      </c>
      <c r="CJ24" s="56">
        <f>IF($D24="","",BR24-VLOOKUP($D24,$B$4:$BS$990,69,FALSE))</f>
        <v>-4.7604015155844337E-4</v>
      </c>
      <c r="CK24" s="78">
        <f>IF($D24="","",BS24-VLOOKUP($D24,$B$4:$BS$990,70,FALSE))</f>
        <v>-2.6067876068222903E-2</v>
      </c>
      <c r="CL24" s="1"/>
      <c r="DI24" s="3"/>
      <c r="DJ24" s="3"/>
      <c r="DK24" s="3"/>
      <c r="DL24" s="3"/>
      <c r="DM24" s="3"/>
      <c r="DN24" s="3"/>
      <c r="DO24" s="3"/>
      <c r="DP24" s="3"/>
      <c r="DQ24" s="3"/>
      <c r="DR24" s="3"/>
      <c r="DS24" s="3"/>
      <c r="DT24" s="3"/>
      <c r="DU24" s="3"/>
      <c r="DV24" s="3"/>
      <c r="DW24" s="3"/>
      <c r="DX24" s="3"/>
      <c r="DY24" s="3"/>
      <c r="DZ24" s="3"/>
      <c r="EA24" s="3"/>
      <c r="EB24" s="3"/>
      <c r="EC24" s="3"/>
      <c r="ED24" s="3"/>
      <c r="EE24" s="3"/>
      <c r="EF24" s="3"/>
      <c r="EG24" s="3"/>
      <c r="EH24" s="3"/>
      <c r="EI24" s="3"/>
      <c r="EJ24" s="3"/>
      <c r="EK24" s="3"/>
      <c r="EL24" s="3"/>
      <c r="EM24" s="3"/>
      <c r="EN24" s="3"/>
      <c r="EO24" s="3"/>
      <c r="EP24" s="3"/>
      <c r="EQ24" s="3"/>
      <c r="ER24" s="3"/>
      <c r="ES24" s="3"/>
      <c r="ET24" s="3"/>
      <c r="EU24" s="3"/>
      <c r="EV24" s="3"/>
      <c r="EW24" s="3"/>
      <c r="EX24" s="3"/>
      <c r="EY24" s="3"/>
      <c r="EZ24" s="3"/>
      <c r="FA24" s="3"/>
      <c r="FB24" s="3"/>
      <c r="FC24" s="3"/>
      <c r="FD24" s="3"/>
      <c r="FE24" s="3"/>
      <c r="FF24" s="3"/>
      <c r="FG24" s="3"/>
      <c r="FH24" s="3"/>
      <c r="FI24" s="3"/>
      <c r="FJ24" s="3"/>
      <c r="FK24" s="3"/>
      <c r="FL24" s="3"/>
      <c r="FM24" s="3"/>
      <c r="FN24" s="3"/>
      <c r="FO24" s="3"/>
      <c r="FP24" s="3"/>
      <c r="FQ24" s="3"/>
      <c r="FR24" s="3"/>
      <c r="FS24" s="3"/>
      <c r="FT24" s="3"/>
      <c r="FU24" s="3"/>
      <c r="FV24" s="3"/>
      <c r="FW24" s="3"/>
      <c r="FX24" s="3"/>
      <c r="FY24" s="3"/>
      <c r="FZ24" s="3"/>
      <c r="GA24" s="3"/>
      <c r="GB24" s="3"/>
      <c r="GC24" s="3"/>
      <c r="GD24" s="3"/>
      <c r="GE24" s="3"/>
      <c r="GF24" s="3"/>
      <c r="GG24" s="3"/>
      <c r="GH24" s="3"/>
      <c r="GI24" s="3"/>
      <c r="GJ24" s="3"/>
      <c r="GK24" s="3"/>
      <c r="GL24" s="3"/>
      <c r="GM24" s="3"/>
      <c r="GN24" s="3"/>
      <c r="GO24" s="3"/>
      <c r="GP24" s="3"/>
      <c r="GQ24" s="3"/>
      <c r="GR24" s="3"/>
      <c r="GS24" s="3"/>
      <c r="GT24" s="3"/>
      <c r="GU24" s="3"/>
      <c r="GV24" s="3"/>
      <c r="GW24" s="3"/>
      <c r="GX24" s="3"/>
      <c r="GY24" s="3"/>
      <c r="GZ24" s="3"/>
      <c r="HA24" s="3"/>
      <c r="HB24" s="3"/>
      <c r="HC24" s="3"/>
      <c r="HD24" s="3"/>
      <c r="HE24" s="3"/>
      <c r="HF24" s="3"/>
      <c r="HG24" s="3"/>
      <c r="HH24" s="3"/>
      <c r="HI24" s="3"/>
      <c r="HJ24" s="3"/>
      <c r="HK24" s="3"/>
      <c r="HL24" s="3"/>
      <c r="HM24" s="3"/>
      <c r="HN24" s="3"/>
      <c r="HO24" s="3"/>
      <c r="HP24" s="3"/>
    </row>
    <row r="25" spans="1:224" x14ac:dyDescent="0.25">
      <c r="A25" s="158" t="s">
        <v>123</v>
      </c>
      <c r="B25" s="10"/>
      <c r="C25" s="10">
        <v>1</v>
      </c>
      <c r="D25" s="76"/>
      <c r="E25" s="79">
        <v>0.14640446733339096</v>
      </c>
      <c r="F25" s="80"/>
      <c r="G25" s="7">
        <v>0.6248699502448154</v>
      </c>
      <c r="H25" s="7">
        <v>0.62074326680241021</v>
      </c>
      <c r="I25" s="7">
        <v>4.1266834424051879E-3</v>
      </c>
      <c r="J25" s="7">
        <v>6.5456323093986829E-3</v>
      </c>
      <c r="K25" s="7"/>
      <c r="L25" s="7"/>
      <c r="M25" s="7"/>
      <c r="N25" s="7"/>
      <c r="O25" s="79">
        <v>0.30830829168000251</v>
      </c>
      <c r="P25" s="7">
        <v>-2.1991632329323222E-2</v>
      </c>
      <c r="Q25" s="7">
        <v>5.3542590025233957E-3</v>
      </c>
      <c r="R25" s="7"/>
      <c r="S25" s="7"/>
      <c r="T25" s="80"/>
      <c r="U25" s="6">
        <v>1.7637856276142247</v>
      </c>
      <c r="V25" s="6">
        <v>0.33903879286362321</v>
      </c>
      <c r="W25" s="90">
        <f>IF(ISERR(X25*$AC$1/375),"",(X25*$AC$1/375))</f>
        <v>5.8516035537314701E-2</v>
      </c>
      <c r="X25" s="15">
        <f>IF(ISERR(((($AC$1)^2)*0.002558)*E25*$F$1),"",(((($AC$1)^2)*0.002558)*E25*$F$1))</f>
        <v>0.87774053305972044</v>
      </c>
      <c r="Y25" s="15"/>
      <c r="Z25" s="91"/>
      <c r="AA25" s="90">
        <f t="shared" ref="AA25:AD28" si="23">IF(ISERR(((($AC$1)^2)*0.002558)*G25*$F$1),"",(((($AC$1)^2)*0.002558)*G25*$F$1))</f>
        <v>3.7462906235771198</v>
      </c>
      <c r="AB25" s="15">
        <f t="shared" si="23"/>
        <v>3.7215498667513245</v>
      </c>
      <c r="AC25" s="15">
        <f t="shared" si="23"/>
        <v>2.4740756825794852E-2</v>
      </c>
      <c r="AD25" s="15">
        <f t="shared" si="23"/>
        <v>3.924311120494179E-2</v>
      </c>
      <c r="AE25" s="132"/>
      <c r="AF25" s="132"/>
      <c r="AG25" s="132"/>
      <c r="AH25" s="133"/>
      <c r="AI25" s="96">
        <f>IF(ISERR(AA25/X25),"",(AA25/X25))</f>
        <v>4.2681071255965648</v>
      </c>
      <c r="AJ25" s="36">
        <f>IF(ISERR(AB25/AA25),"",(AB25/AA25))</f>
        <v>0.99339593232033563</v>
      </c>
      <c r="AK25" s="139">
        <f>IF((ISERROR((Coeff!AB25+TestInfoPage!$B$6)/(Coeff!AA25+TestInfoPage!$B$5))),"",((Coeff!AB25+TestInfoPage!$B$6)/(Coeff!AA25+TestInfoPage!$B$5)))</f>
        <v>0.99339593232033563</v>
      </c>
      <c r="AL25" s="96"/>
      <c r="AM25" s="36"/>
      <c r="AN25" s="142"/>
      <c r="AO25" s="79">
        <f t="shared" si="2"/>
        <v>3.1487062835019987E-2</v>
      </c>
      <c r="AP25" s="4" t="s">
        <v>119</v>
      </c>
      <c r="AQ25" s="4" t="s">
        <v>119</v>
      </c>
      <c r="AR25" s="4">
        <v>2.4477647932987946E-2</v>
      </c>
      <c r="AS25" s="4">
        <v>3.8496477737052025E-2</v>
      </c>
      <c r="AT25" s="128"/>
      <c r="AU25" s="128"/>
      <c r="AV25" s="128"/>
      <c r="AW25" s="129"/>
      <c r="AX25" s="81" t="s">
        <v>119</v>
      </c>
      <c r="AY25" s="4">
        <v>2.2185073466163396E-2</v>
      </c>
      <c r="AZ25" s="15"/>
      <c r="BA25" s="91"/>
      <c r="BB25" s="162">
        <v>-8.0968814696155758E-2</v>
      </c>
      <c r="BC25" s="128">
        <v>-8.8197725719674727E-2</v>
      </c>
      <c r="BD25" s="128">
        <v>-8.2345835215754573E-2</v>
      </c>
      <c r="BE25" s="128">
        <v>-9.0074767959684235E-2</v>
      </c>
      <c r="BF25" s="128">
        <v>-8.5048420622183721E-2</v>
      </c>
      <c r="BG25" s="128">
        <v>-8.1693802922574651E-2</v>
      </c>
      <c r="BH25" s="128">
        <v>-8.7043168316686598E-2</v>
      </c>
      <c r="BI25" s="128">
        <v>-9.1950427430108644E-2</v>
      </c>
      <c r="BJ25" s="128">
        <v>-8.1740254902408854E-2</v>
      </c>
      <c r="BK25" s="128">
        <v>-8.0594560080731056E-2</v>
      </c>
      <c r="BL25" s="128">
        <v>-8.7883173028441036E-2</v>
      </c>
      <c r="BM25" s="128">
        <v>-9.4268178763671662E-2</v>
      </c>
      <c r="BN25" s="128">
        <v>-8.9940669329615294E-2</v>
      </c>
      <c r="BO25" s="128">
        <v>-7.537799915540129E-2</v>
      </c>
      <c r="BP25" s="128">
        <v>-8.0273565819951584E-2</v>
      </c>
      <c r="BQ25" s="128">
        <v>-8.9543721147393132E-2</v>
      </c>
      <c r="BR25" s="128">
        <v>-8.3293428732109376E-2</v>
      </c>
      <c r="BS25" s="129">
        <v>-7.9552823249231089E-2</v>
      </c>
      <c r="BT25" s="107"/>
      <c r="BU25" s="100"/>
      <c r="BV25" s="100"/>
      <c r="BW25" s="100"/>
      <c r="BX25" s="100"/>
      <c r="BY25" s="100"/>
      <c r="BZ25" s="100"/>
      <c r="CA25" s="100"/>
      <c r="CB25" s="100"/>
      <c r="CC25" s="100"/>
      <c r="CD25" s="100"/>
      <c r="CE25" s="100"/>
      <c r="CF25" s="100"/>
      <c r="CG25" s="100"/>
      <c r="CH25" s="100"/>
      <c r="CI25" s="100"/>
      <c r="CJ25" s="100"/>
      <c r="CK25" s="108"/>
      <c r="CL25" s="1"/>
      <c r="DI25" s="3"/>
      <c r="DJ25" s="3"/>
      <c r="DK25" s="3"/>
      <c r="DL25" s="3"/>
      <c r="DM25" s="3"/>
      <c r="DN25" s="3"/>
      <c r="DO25" s="3"/>
      <c r="DP25" s="3"/>
      <c r="DQ25" s="3"/>
      <c r="DR25" s="3"/>
      <c r="DS25" s="3"/>
      <c r="DT25" s="3"/>
      <c r="DU25" s="3"/>
      <c r="DV25" s="3"/>
      <c r="DW25" s="3"/>
      <c r="DX25" s="3"/>
      <c r="DY25" s="3"/>
      <c r="DZ25" s="3"/>
      <c r="EA25" s="3"/>
      <c r="EB25" s="3"/>
      <c r="EC25" s="3"/>
      <c r="ED25" s="3"/>
      <c r="EE25" s="3"/>
      <c r="EF25" s="3"/>
      <c r="EG25" s="3"/>
      <c r="EH25" s="3"/>
      <c r="EI25" s="3"/>
      <c r="EJ25" s="3"/>
      <c r="EK25" s="3"/>
      <c r="EL25" s="3"/>
      <c r="EM25" s="3"/>
      <c r="EN25" s="3"/>
      <c r="EO25" s="3"/>
      <c r="EP25" s="3"/>
      <c r="EQ25" s="3"/>
      <c r="ER25" s="3"/>
      <c r="ES25" s="3"/>
      <c r="ET25" s="3"/>
      <c r="EU25" s="3"/>
      <c r="EV25" s="3"/>
      <c r="EW25" s="3"/>
      <c r="EX25" s="3"/>
      <c r="EY25" s="3"/>
      <c r="EZ25" s="3"/>
      <c r="FA25" s="3"/>
      <c r="FB25" s="3"/>
      <c r="FC25" s="3"/>
      <c r="FD25" s="3"/>
      <c r="FE25" s="3"/>
      <c r="FF25" s="3"/>
      <c r="FG25" s="3"/>
      <c r="FH25" s="3"/>
      <c r="FI25" s="3"/>
      <c r="FJ25" s="3"/>
      <c r="FK25" s="3"/>
      <c r="FL25" s="3"/>
      <c r="FM25" s="3"/>
      <c r="FN25" s="3"/>
      <c r="FO25" s="3"/>
      <c r="FP25" s="3"/>
      <c r="FQ25" s="3"/>
      <c r="FR25" s="3"/>
      <c r="FS25" s="3"/>
      <c r="FT25" s="3"/>
      <c r="FU25" s="3"/>
      <c r="FV25" s="3"/>
      <c r="FW25" s="3"/>
      <c r="FX25" s="3"/>
      <c r="FY25" s="3"/>
      <c r="FZ25" s="3"/>
      <c r="GA25" s="3"/>
      <c r="GB25" s="3"/>
      <c r="GC25" s="3"/>
      <c r="GD25" s="3"/>
      <c r="GE25" s="3"/>
      <c r="GF25" s="3"/>
      <c r="GG25" s="3"/>
      <c r="GH25" s="3"/>
      <c r="GI25" s="3"/>
      <c r="GJ25" s="3"/>
      <c r="GK25" s="3"/>
      <c r="GL25" s="3"/>
      <c r="GM25" s="3"/>
      <c r="GN25" s="3"/>
      <c r="GO25" s="3"/>
      <c r="GP25" s="3"/>
      <c r="GQ25" s="3"/>
      <c r="GR25" s="3"/>
      <c r="GS25" s="3"/>
      <c r="GT25" s="3"/>
      <c r="GU25" s="3"/>
      <c r="GV25" s="3"/>
      <c r="GW25" s="3"/>
      <c r="GX25" s="3"/>
      <c r="GY25" s="3"/>
      <c r="GZ25" s="3"/>
      <c r="HA25" s="3"/>
      <c r="HB25" s="3"/>
      <c r="HC25" s="3"/>
      <c r="HD25" s="3"/>
      <c r="HE25" s="3"/>
      <c r="HF25" s="3"/>
      <c r="HG25" s="3"/>
      <c r="HH25" s="3"/>
      <c r="HI25" s="3"/>
      <c r="HJ25" s="3"/>
      <c r="HK25" s="3"/>
      <c r="HL25" s="3"/>
      <c r="HM25" s="3"/>
      <c r="HN25" s="3"/>
      <c r="HO25" s="3"/>
      <c r="HP25" s="3"/>
    </row>
    <row r="26" spans="1:224" x14ac:dyDescent="0.25">
      <c r="A26" s="158">
        <v>0</v>
      </c>
      <c r="B26" s="10"/>
      <c r="C26" s="10">
        <v>2</v>
      </c>
      <c r="D26" s="76"/>
      <c r="E26" s="81">
        <v>0.14629534191506974</v>
      </c>
      <c r="F26" s="80"/>
      <c r="G26" s="4">
        <v>0.59251584598486151</v>
      </c>
      <c r="H26" s="4">
        <v>0.59747234339779265</v>
      </c>
      <c r="I26" s="4">
        <v>-4.9564974129310824E-3</v>
      </c>
      <c r="J26" s="4">
        <v>3.1117849360694564E-2</v>
      </c>
      <c r="K26" s="7"/>
      <c r="L26" s="7"/>
      <c r="M26" s="7"/>
      <c r="N26" s="7"/>
      <c r="O26" s="81">
        <v>0.30121442040536184</v>
      </c>
      <c r="P26" s="4">
        <v>-1.4267591849867339E-2</v>
      </c>
      <c r="Q26" s="4">
        <v>-1.3540547325822744E-2</v>
      </c>
      <c r="R26" s="7"/>
      <c r="S26" s="7"/>
      <c r="T26" s="80"/>
      <c r="U26" s="6">
        <v>1.7719394956669616</v>
      </c>
      <c r="V26" s="6">
        <v>0.34060614750042706</v>
      </c>
      <c r="W26" s="90">
        <f>IF(ISERR(X26*$AC$1/375),"",(X26*$AC$1/375))</f>
        <v>5.8472419471679422E-2</v>
      </c>
      <c r="X26" s="15">
        <f>IF(ISERR(((($AC$1)^2)*0.002558)*E26*$F$1),"",(((($AC$1)^2)*0.002558)*E26*$F$1))</f>
        <v>0.8770862920751914</v>
      </c>
      <c r="Y26" s="15"/>
      <c r="Z26" s="91"/>
      <c r="AA26" s="90">
        <f t="shared" si="23"/>
        <v>3.5523176578811149</v>
      </c>
      <c r="AB26" s="15">
        <f t="shared" si="23"/>
        <v>3.5820334087770784</v>
      </c>
      <c r="AC26" s="15">
        <f t="shared" si="23"/>
        <v>-2.9715750895963379E-2</v>
      </c>
      <c r="AD26" s="15">
        <f t="shared" si="23"/>
        <v>0.18656123124528912</v>
      </c>
      <c r="AE26" s="15"/>
      <c r="AF26" s="15"/>
      <c r="AG26" s="15"/>
      <c r="AH26" s="91"/>
      <c r="AI26" s="96">
        <f>IF(ISERR(AA26/X26),"",(AA26/X26))</f>
        <v>4.0501347358608353</v>
      </c>
      <c r="AJ26" s="97">
        <f>IF(ISERR(AB26/AA26),"",(AB26/AA26))</f>
        <v>1.0083651727570131</v>
      </c>
      <c r="AK26" s="139">
        <f>IF((ISERROR((Coeff!AB26+TestInfoPage!$B$6)/(Coeff!AA26+TestInfoPage!$B$5))),"",((Coeff!AB26+TestInfoPage!$B$6)/(Coeff!AA26+TestInfoPage!$B$5)))</f>
        <v>1.0083651727570131</v>
      </c>
      <c r="AL26" s="96"/>
      <c r="AM26" s="36"/>
      <c r="AN26" s="142"/>
      <c r="AO26" s="79">
        <f t="shared" si="2"/>
        <v>3.6892449646850109E-2</v>
      </c>
      <c r="AP26" s="4" t="s">
        <v>119</v>
      </c>
      <c r="AQ26" s="4" t="s">
        <v>119</v>
      </c>
      <c r="AR26" s="4" t="s">
        <v>119</v>
      </c>
      <c r="AS26" s="4">
        <v>3.6892449646850109E-2</v>
      </c>
      <c r="AT26" s="7"/>
      <c r="AU26" s="7"/>
      <c r="AV26" s="7"/>
      <c r="AW26" s="80"/>
      <c r="AX26" s="81" t="s">
        <v>119</v>
      </c>
      <c r="AY26" s="4">
        <v>4.2042488800690711E-2</v>
      </c>
      <c r="AZ26" s="15"/>
      <c r="BA26" s="91"/>
      <c r="BB26" s="79">
        <v>-8.4527346051335606E-2</v>
      </c>
      <c r="BC26" s="7">
        <v>-8.8781003801329583E-2</v>
      </c>
      <c r="BD26" s="7">
        <v>-8.6793090831799716E-2</v>
      </c>
      <c r="BE26" s="7">
        <v>-8.743885419581679E-2</v>
      </c>
      <c r="BF26" s="7">
        <v>-8.1258422938883468E-2</v>
      </c>
      <c r="BG26" s="7">
        <v>-7.4649983212647181E-2</v>
      </c>
      <c r="BH26" s="7">
        <v>-8.8792179608823657E-2</v>
      </c>
      <c r="BI26" s="7">
        <v>-9.1886372940935643E-2</v>
      </c>
      <c r="BJ26" s="7">
        <v>-7.9113582013387598E-2</v>
      </c>
      <c r="BK26" s="7">
        <v>-8.6231915124423353E-2</v>
      </c>
      <c r="BL26" s="7">
        <v>-9.0125935594933523E-2</v>
      </c>
      <c r="BM26" s="7">
        <v>-8.6765517749951421E-2</v>
      </c>
      <c r="BN26" s="7">
        <v>-8.71608324087466E-2</v>
      </c>
      <c r="BO26" s="7">
        <v>-7.6035505938488665E-2</v>
      </c>
      <c r="BP26" s="7">
        <v>-8.8440931252854585E-2</v>
      </c>
      <c r="BQ26" s="7">
        <v>-8.6230720978538067E-2</v>
      </c>
      <c r="BR26" s="7">
        <v>-9.1240644118620803E-2</v>
      </c>
      <c r="BS26" s="80">
        <v>-5.9054211770385508E-2</v>
      </c>
      <c r="BT26" s="107"/>
      <c r="BU26" s="100"/>
      <c r="BV26" s="100"/>
      <c r="BW26" s="100"/>
      <c r="BX26" s="100"/>
      <c r="BY26" s="100"/>
      <c r="BZ26" s="100"/>
      <c r="CA26" s="100"/>
      <c r="CB26" s="100"/>
      <c r="CC26" s="100"/>
      <c r="CD26" s="100"/>
      <c r="CE26" s="100"/>
      <c r="CF26" s="100"/>
      <c r="CG26" s="100"/>
      <c r="CH26" s="100"/>
      <c r="CI26" s="100"/>
      <c r="CJ26" s="100"/>
      <c r="CK26" s="108"/>
      <c r="CL26" s="1"/>
      <c r="DI26" s="3"/>
      <c r="DJ26" s="3"/>
      <c r="DK26" s="3"/>
      <c r="DL26" s="3"/>
      <c r="DM26" s="3"/>
      <c r="DN26" s="3"/>
      <c r="DO26" s="3"/>
      <c r="DP26" s="3"/>
      <c r="DQ26" s="3"/>
      <c r="DR26" s="3"/>
      <c r="DS26" s="3"/>
      <c r="DT26" s="3"/>
      <c r="DU26" s="3"/>
      <c r="DV26" s="3"/>
      <c r="DW26" s="3"/>
      <c r="DX26" s="3"/>
      <c r="DY26" s="3"/>
      <c r="DZ26" s="3"/>
      <c r="EA26" s="3"/>
      <c r="EB26" s="3"/>
      <c r="EC26" s="3"/>
      <c r="ED26" s="3"/>
      <c r="EE26" s="3"/>
      <c r="EF26" s="3"/>
      <c r="EG26" s="3"/>
      <c r="EH26" s="3"/>
      <c r="EI26" s="3"/>
      <c r="EJ26" s="3"/>
      <c r="EK26" s="3"/>
      <c r="EL26" s="3"/>
      <c r="EM26" s="3"/>
      <c r="EN26" s="3"/>
      <c r="EO26" s="3"/>
      <c r="EP26" s="3"/>
      <c r="EQ26" s="3"/>
      <c r="ER26" s="3"/>
      <c r="ES26" s="3"/>
      <c r="ET26" s="3"/>
      <c r="EU26" s="3"/>
      <c r="EV26" s="3"/>
      <c r="EW26" s="3"/>
      <c r="EX26" s="3"/>
      <c r="EY26" s="3"/>
      <c r="EZ26" s="3"/>
      <c r="FA26" s="3"/>
      <c r="FB26" s="3"/>
      <c r="FC26" s="3"/>
      <c r="FD26" s="3"/>
      <c r="FE26" s="3"/>
      <c r="FF26" s="3"/>
      <c r="FG26" s="3"/>
      <c r="FH26" s="3"/>
      <c r="FI26" s="3"/>
      <c r="FJ26" s="3"/>
      <c r="FK26" s="3"/>
      <c r="FL26" s="3"/>
      <c r="FM26" s="3"/>
      <c r="FN26" s="3"/>
      <c r="FO26" s="3"/>
      <c r="FP26" s="3"/>
      <c r="FQ26" s="3"/>
      <c r="FR26" s="3"/>
      <c r="FS26" s="3"/>
      <c r="FT26" s="3"/>
      <c r="FU26" s="3"/>
      <c r="FV26" s="3"/>
      <c r="FW26" s="3"/>
      <c r="FX26" s="3"/>
      <c r="FY26" s="3"/>
      <c r="FZ26" s="3"/>
      <c r="GA26" s="3"/>
      <c r="GB26" s="3"/>
      <c r="GC26" s="3"/>
      <c r="GD26" s="3"/>
      <c r="GE26" s="3"/>
      <c r="GF26" s="3"/>
      <c r="GG26" s="3"/>
      <c r="GH26" s="3"/>
      <c r="GI26" s="3"/>
      <c r="GJ26" s="3"/>
      <c r="GK26" s="3"/>
      <c r="GL26" s="3"/>
      <c r="GM26" s="3"/>
      <c r="GN26" s="3"/>
      <c r="GO26" s="3"/>
      <c r="GP26" s="3"/>
      <c r="GQ26" s="3"/>
      <c r="GR26" s="3"/>
      <c r="GS26" s="3"/>
      <c r="GT26" s="3"/>
      <c r="GU26" s="3"/>
      <c r="GV26" s="3"/>
      <c r="GW26" s="3"/>
      <c r="GX26" s="3"/>
      <c r="GY26" s="3"/>
      <c r="GZ26" s="3"/>
      <c r="HA26" s="3"/>
      <c r="HB26" s="3"/>
      <c r="HC26" s="3"/>
      <c r="HD26" s="3"/>
      <c r="HE26" s="3"/>
      <c r="HF26" s="3"/>
      <c r="HG26" s="3"/>
      <c r="HH26" s="3"/>
      <c r="HI26" s="3"/>
      <c r="HJ26" s="3"/>
      <c r="HK26" s="3"/>
      <c r="HL26" s="3"/>
      <c r="HM26" s="3"/>
      <c r="HN26" s="3"/>
      <c r="HO26" s="3"/>
      <c r="HP26" s="3"/>
    </row>
    <row r="27" spans="1:224" ht="13.5" customHeight="1" x14ac:dyDescent="0.25">
      <c r="A27" s="158">
        <v>0</v>
      </c>
      <c r="B27" s="10"/>
      <c r="C27" s="10">
        <v>3</v>
      </c>
      <c r="D27" s="76"/>
      <c r="E27" s="81" t="s">
        <v>119</v>
      </c>
      <c r="F27" s="80"/>
      <c r="G27" s="4" t="s">
        <v>119</v>
      </c>
      <c r="H27" s="4" t="s">
        <v>119</v>
      </c>
      <c r="I27" s="4" t="s">
        <v>119</v>
      </c>
      <c r="J27" s="4" t="s">
        <v>119</v>
      </c>
      <c r="K27" s="7"/>
      <c r="L27" s="7"/>
      <c r="M27" s="7"/>
      <c r="N27" s="7"/>
      <c r="O27" s="81" t="s">
        <v>119</v>
      </c>
      <c r="P27" s="4" t="s">
        <v>119</v>
      </c>
      <c r="Q27" s="4" t="s">
        <v>119</v>
      </c>
      <c r="R27" s="7"/>
      <c r="S27" s="7"/>
      <c r="T27" s="80"/>
      <c r="U27" s="6" t="s">
        <v>119</v>
      </c>
      <c r="V27" s="6" t="s">
        <v>119</v>
      </c>
      <c r="W27" s="90" t="str">
        <f>IF(ISERR(X27*$AC$1/375),"",(X27*$AC$1/375))</f>
        <v/>
      </c>
      <c r="X27" s="15" t="str">
        <f>IF(ISERR(((($AC$1)^2)*0.002558)*E27*$F$1),"",(((($AC$1)^2)*0.002558)*E27*$F$1))</f>
        <v/>
      </c>
      <c r="Y27" s="15"/>
      <c r="Z27" s="91"/>
      <c r="AA27" s="90" t="str">
        <f t="shared" si="23"/>
        <v/>
      </c>
      <c r="AB27" s="15" t="str">
        <f t="shared" si="23"/>
        <v/>
      </c>
      <c r="AC27" s="15" t="str">
        <f t="shared" si="23"/>
        <v/>
      </c>
      <c r="AD27" s="15" t="str">
        <f t="shared" si="23"/>
        <v/>
      </c>
      <c r="AE27" s="15"/>
      <c r="AF27" s="15"/>
      <c r="AG27" s="15"/>
      <c r="AH27" s="91"/>
      <c r="AI27" s="96" t="str">
        <f>IF(ISERR(AA27/X27),"",(AA27/X27))</f>
        <v/>
      </c>
      <c r="AJ27" s="97" t="str">
        <f>IF(ISERR(AB27/AA27),"",(AB27/AA27))</f>
        <v/>
      </c>
      <c r="AK27" s="139" t="str">
        <f>IF((ISERROR((Coeff!AB27+TestInfoPage!$B$6)/(Coeff!AA27+TestInfoPage!$B$5))),"",((Coeff!AB27+TestInfoPage!$B$6)/(Coeff!AA27+TestInfoPage!$B$5)))</f>
        <v/>
      </c>
      <c r="AL27" s="96"/>
      <c r="AM27" s="36"/>
      <c r="AN27" s="142"/>
      <c r="AO27" s="79" t="str">
        <f t="shared" si="2"/>
        <v/>
      </c>
      <c r="AP27" s="4" t="s">
        <v>119</v>
      </c>
      <c r="AQ27" s="4" t="s">
        <v>119</v>
      </c>
      <c r="AR27" s="4" t="s">
        <v>119</v>
      </c>
      <c r="AS27" s="4" t="s">
        <v>119</v>
      </c>
      <c r="AT27" s="7"/>
      <c r="AU27" s="7"/>
      <c r="AV27" s="7"/>
      <c r="AW27" s="80"/>
      <c r="AX27" s="81" t="s">
        <v>119</v>
      </c>
      <c r="AY27" s="4" t="s">
        <v>119</v>
      </c>
      <c r="AZ27" s="15"/>
      <c r="BA27" s="91"/>
      <c r="BB27" s="79" t="s">
        <v>119</v>
      </c>
      <c r="BC27" s="7" t="s">
        <v>119</v>
      </c>
      <c r="BD27" s="7" t="s">
        <v>119</v>
      </c>
      <c r="BE27" s="7" t="s">
        <v>119</v>
      </c>
      <c r="BF27" s="7" t="s">
        <v>119</v>
      </c>
      <c r="BG27" s="7" t="s">
        <v>119</v>
      </c>
      <c r="BH27" s="7" t="s">
        <v>119</v>
      </c>
      <c r="BI27" s="7" t="s">
        <v>119</v>
      </c>
      <c r="BJ27" s="7" t="s">
        <v>119</v>
      </c>
      <c r="BK27" s="7" t="s">
        <v>119</v>
      </c>
      <c r="BL27" s="7" t="s">
        <v>119</v>
      </c>
      <c r="BM27" s="7" t="s">
        <v>119</v>
      </c>
      <c r="BN27" s="7" t="s">
        <v>119</v>
      </c>
      <c r="BO27" s="7" t="s">
        <v>119</v>
      </c>
      <c r="BP27" s="7" t="s">
        <v>119</v>
      </c>
      <c r="BQ27" s="7" t="s">
        <v>119</v>
      </c>
      <c r="BR27" s="7" t="s">
        <v>119</v>
      </c>
      <c r="BS27" s="80" t="s">
        <v>119</v>
      </c>
      <c r="BT27" s="107"/>
      <c r="BU27" s="100"/>
      <c r="BV27" s="100"/>
      <c r="BW27" s="100"/>
      <c r="BX27" s="100"/>
      <c r="BY27" s="100"/>
      <c r="BZ27" s="100"/>
      <c r="CA27" s="100"/>
      <c r="CB27" s="100"/>
      <c r="CC27" s="100"/>
      <c r="CD27" s="100"/>
      <c r="CE27" s="100"/>
      <c r="CF27" s="100"/>
      <c r="CG27" s="100"/>
      <c r="CH27" s="100"/>
      <c r="CI27" s="100"/>
      <c r="CJ27" s="100"/>
      <c r="CK27" s="108"/>
      <c r="CL27" s="1"/>
      <c r="DI27" s="3"/>
      <c r="DJ27" s="3"/>
      <c r="DK27" s="3"/>
      <c r="DL27" s="3"/>
      <c r="DM27" s="3"/>
      <c r="DN27" s="3"/>
      <c r="DO27" s="3"/>
      <c r="DP27" s="3"/>
      <c r="DQ27" s="3"/>
      <c r="DR27" s="3"/>
      <c r="DS27" s="3"/>
      <c r="DT27" s="3"/>
      <c r="DU27" s="3"/>
      <c r="DV27" s="3"/>
      <c r="DW27" s="3"/>
      <c r="DX27" s="3"/>
      <c r="DY27" s="3"/>
      <c r="DZ27" s="3"/>
      <c r="EA27" s="3"/>
      <c r="EB27" s="3"/>
      <c r="EC27" s="3"/>
      <c r="ED27" s="3"/>
      <c r="EE27" s="3"/>
      <c r="EF27" s="3"/>
      <c r="EG27" s="3"/>
      <c r="EH27" s="3"/>
      <c r="EI27" s="3"/>
      <c r="EJ27" s="3"/>
      <c r="EK27" s="3"/>
      <c r="EL27" s="3"/>
      <c r="EM27" s="3"/>
      <c r="EN27" s="3"/>
      <c r="EO27" s="3"/>
      <c r="EP27" s="3"/>
      <c r="EQ27" s="3"/>
      <c r="ER27" s="3"/>
      <c r="ES27" s="3"/>
      <c r="ET27" s="3"/>
      <c r="EU27" s="3"/>
      <c r="EV27" s="3"/>
      <c r="EW27" s="3"/>
      <c r="EX27" s="3"/>
      <c r="EY27" s="3"/>
      <c r="EZ27" s="3"/>
      <c r="FA27" s="3"/>
      <c r="FB27" s="3"/>
      <c r="FC27" s="3"/>
      <c r="FD27" s="3"/>
      <c r="FE27" s="3"/>
      <c r="FF27" s="3"/>
      <c r="FG27" s="3"/>
      <c r="FH27" s="3"/>
      <c r="FI27" s="3"/>
      <c r="FJ27" s="3"/>
      <c r="FK27" s="3"/>
      <c r="FL27" s="3"/>
      <c r="FM27" s="3"/>
      <c r="FN27" s="3"/>
      <c r="FO27" s="3"/>
      <c r="FP27" s="3"/>
      <c r="FQ27" s="3"/>
      <c r="FR27" s="3"/>
      <c r="FS27" s="3"/>
      <c r="FT27" s="3"/>
      <c r="FU27" s="3"/>
      <c r="FV27" s="3"/>
      <c r="FW27" s="3"/>
      <c r="FX27" s="3"/>
      <c r="FY27" s="3"/>
      <c r="FZ27" s="3"/>
      <c r="GA27" s="3"/>
      <c r="GB27" s="3"/>
      <c r="GC27" s="3"/>
      <c r="GD27" s="3"/>
      <c r="GE27" s="3"/>
      <c r="GF27" s="3"/>
      <c r="GG27" s="3"/>
      <c r="GH27" s="3"/>
      <c r="GI27" s="3"/>
      <c r="GJ27" s="3"/>
      <c r="GK27" s="3"/>
      <c r="GL27" s="3"/>
      <c r="GM27" s="3"/>
      <c r="GN27" s="3"/>
      <c r="GO27" s="3"/>
      <c r="GP27" s="3"/>
      <c r="GQ27" s="3"/>
      <c r="GR27" s="3"/>
      <c r="GS27" s="3"/>
      <c r="GT27" s="3"/>
      <c r="GU27" s="3"/>
      <c r="GV27" s="3"/>
      <c r="GW27" s="3"/>
      <c r="GX27" s="3"/>
      <c r="GY27" s="3"/>
      <c r="GZ27" s="3"/>
      <c r="HA27" s="3"/>
      <c r="HB27" s="3"/>
      <c r="HC27" s="3"/>
      <c r="HD27" s="3"/>
      <c r="HE27" s="3"/>
      <c r="HF27" s="3"/>
      <c r="HG27" s="3"/>
      <c r="HH27" s="3"/>
      <c r="HI27" s="3"/>
      <c r="HJ27" s="3"/>
      <c r="HK27" s="3"/>
      <c r="HL27" s="3"/>
      <c r="HM27" s="3"/>
      <c r="HN27" s="3"/>
      <c r="HO27" s="3"/>
      <c r="HP27" s="3"/>
    </row>
    <row r="28" spans="1:224" ht="13.5" customHeight="1" thickBot="1" x14ac:dyDescent="0.3">
      <c r="A28" s="158">
        <v>0</v>
      </c>
      <c r="B28" s="10"/>
      <c r="C28" s="10">
        <v>4</v>
      </c>
      <c r="D28" s="76"/>
      <c r="E28" s="81" t="s">
        <v>119</v>
      </c>
      <c r="F28" s="80"/>
      <c r="G28" s="4" t="s">
        <v>119</v>
      </c>
      <c r="H28" s="4" t="s">
        <v>119</v>
      </c>
      <c r="I28" s="4" t="s">
        <v>119</v>
      </c>
      <c r="J28" s="4" t="s">
        <v>119</v>
      </c>
      <c r="K28" s="7"/>
      <c r="L28" s="7"/>
      <c r="M28" s="7"/>
      <c r="N28" s="7"/>
      <c r="O28" s="81" t="s">
        <v>119</v>
      </c>
      <c r="P28" s="4" t="s">
        <v>119</v>
      </c>
      <c r="Q28" s="4" t="s">
        <v>119</v>
      </c>
      <c r="R28" s="7"/>
      <c r="S28" s="7"/>
      <c r="T28" s="84"/>
      <c r="U28" s="6" t="s">
        <v>119</v>
      </c>
      <c r="V28" s="6" t="s">
        <v>119</v>
      </c>
      <c r="W28" s="90" t="str">
        <f>IF(ISERR(X28*$AC$1/375),"",(X28*$AC$1/375))</f>
        <v/>
      </c>
      <c r="X28" s="15" t="str">
        <f>IF(ISERR(((($AC$1)^2)*0.002558)*E28*$F$1),"",(((($AC$1)^2)*0.002558)*E28*$F$1))</f>
        <v/>
      </c>
      <c r="Y28" s="15"/>
      <c r="Z28" s="91"/>
      <c r="AA28" s="90" t="str">
        <f t="shared" si="23"/>
        <v/>
      </c>
      <c r="AB28" s="15" t="str">
        <f t="shared" si="23"/>
        <v/>
      </c>
      <c r="AC28" s="15" t="str">
        <f t="shared" si="23"/>
        <v/>
      </c>
      <c r="AD28" s="15" t="str">
        <f t="shared" si="23"/>
        <v/>
      </c>
      <c r="AE28" s="15"/>
      <c r="AF28" s="15"/>
      <c r="AG28" s="15"/>
      <c r="AH28" s="91"/>
      <c r="AI28" s="96" t="str">
        <f>IF(ISERR(AA28/X28),"",(AA28/X28))</f>
        <v/>
      </c>
      <c r="AJ28" s="97" t="str">
        <f>IF(ISERR(AB28/AA28),"",(AB28/AA28))</f>
        <v/>
      </c>
      <c r="AK28" s="139" t="str">
        <f>IF((ISERROR((Coeff!AB28+TestInfoPage!$B$6)/(Coeff!AA28+TestInfoPage!$B$5))),"",((Coeff!AB28+TestInfoPage!$B$6)/(Coeff!AA28+TestInfoPage!$B$5)))</f>
        <v/>
      </c>
      <c r="AL28" s="96"/>
      <c r="AM28" s="36"/>
      <c r="AN28" s="142"/>
      <c r="AO28" s="79" t="str">
        <f t="shared" si="2"/>
        <v/>
      </c>
      <c r="AP28" s="4" t="s">
        <v>119</v>
      </c>
      <c r="AQ28" s="4" t="s">
        <v>119</v>
      </c>
      <c r="AR28" s="4" t="s">
        <v>119</v>
      </c>
      <c r="AS28" s="4" t="s">
        <v>119</v>
      </c>
      <c r="AT28" s="7"/>
      <c r="AU28" s="7"/>
      <c r="AV28" s="7"/>
      <c r="AW28" s="80"/>
      <c r="AX28" s="81" t="s">
        <v>119</v>
      </c>
      <c r="AY28" s="4" t="s">
        <v>119</v>
      </c>
      <c r="AZ28" s="15"/>
      <c r="BA28" s="91"/>
      <c r="BB28" s="163" t="s">
        <v>119</v>
      </c>
      <c r="BC28" s="157" t="s">
        <v>119</v>
      </c>
      <c r="BD28" s="157" t="s">
        <v>119</v>
      </c>
      <c r="BE28" s="157" t="s">
        <v>119</v>
      </c>
      <c r="BF28" s="157" t="s">
        <v>119</v>
      </c>
      <c r="BG28" s="157" t="s">
        <v>119</v>
      </c>
      <c r="BH28" s="157" t="s">
        <v>119</v>
      </c>
      <c r="BI28" s="157" t="s">
        <v>119</v>
      </c>
      <c r="BJ28" s="157" t="s">
        <v>119</v>
      </c>
      <c r="BK28" s="157" t="s">
        <v>119</v>
      </c>
      <c r="BL28" s="157" t="s">
        <v>119</v>
      </c>
      <c r="BM28" s="157" t="s">
        <v>119</v>
      </c>
      <c r="BN28" s="157" t="s">
        <v>119</v>
      </c>
      <c r="BO28" s="157" t="s">
        <v>119</v>
      </c>
      <c r="BP28" s="157" t="s">
        <v>119</v>
      </c>
      <c r="BQ28" s="157" t="s">
        <v>119</v>
      </c>
      <c r="BR28" s="157" t="s">
        <v>119</v>
      </c>
      <c r="BS28" s="84" t="s">
        <v>119</v>
      </c>
      <c r="BT28" s="107"/>
      <c r="BU28" s="100"/>
      <c r="BV28" s="100"/>
      <c r="BW28" s="100"/>
      <c r="BX28" s="100"/>
      <c r="BY28" s="100"/>
      <c r="BZ28" s="100"/>
      <c r="CA28" s="100"/>
      <c r="CB28" s="100"/>
      <c r="CC28" s="100"/>
      <c r="CD28" s="100"/>
      <c r="CE28" s="100"/>
      <c r="CF28" s="100"/>
      <c r="CG28" s="100"/>
      <c r="CH28" s="100"/>
      <c r="CI28" s="100"/>
      <c r="CJ28" s="100"/>
      <c r="CK28" s="108"/>
      <c r="CL28" s="1"/>
      <c r="DI28" s="3"/>
      <c r="DJ28" s="3"/>
      <c r="DK28" s="3"/>
      <c r="DL28" s="3"/>
      <c r="DM28" s="3"/>
      <c r="DN28" s="3"/>
      <c r="DO28" s="3"/>
      <c r="DP28" s="3"/>
      <c r="DQ28" s="3"/>
      <c r="DR28" s="3"/>
      <c r="DS28" s="3"/>
      <c r="DT28" s="3"/>
      <c r="DU28" s="3"/>
      <c r="DV28" s="3"/>
      <c r="DW28" s="3"/>
      <c r="DX28" s="3"/>
      <c r="DY28" s="3"/>
      <c r="DZ28" s="3"/>
      <c r="EA28" s="3"/>
      <c r="EB28" s="3"/>
      <c r="EC28" s="3"/>
      <c r="ED28" s="3"/>
      <c r="EE28" s="3"/>
      <c r="EF28" s="3"/>
      <c r="EG28" s="3"/>
      <c r="EH28" s="3"/>
      <c r="EI28" s="3"/>
      <c r="EJ28" s="3"/>
      <c r="EK28" s="3"/>
      <c r="EL28" s="3"/>
      <c r="EM28" s="3"/>
      <c r="EN28" s="3"/>
      <c r="EO28" s="3"/>
      <c r="EP28" s="3"/>
      <c r="EQ28" s="3"/>
      <c r="ER28" s="3"/>
      <c r="ES28" s="3"/>
      <c r="ET28" s="3"/>
      <c r="EU28" s="3"/>
      <c r="EV28" s="3"/>
      <c r="EW28" s="3"/>
      <c r="EX28" s="3"/>
      <c r="EY28" s="3"/>
      <c r="EZ28" s="3"/>
      <c r="FA28" s="3"/>
      <c r="FB28" s="3"/>
      <c r="FC28" s="3"/>
      <c r="FD28" s="3"/>
      <c r="FE28" s="3"/>
      <c r="FF28" s="3"/>
      <c r="FG28" s="3"/>
      <c r="FH28" s="3"/>
      <c r="FI28" s="3"/>
      <c r="FJ28" s="3"/>
      <c r="FK28" s="3"/>
      <c r="FL28" s="3"/>
      <c r="FM28" s="3"/>
      <c r="FN28" s="3"/>
      <c r="FO28" s="3"/>
      <c r="FP28" s="3"/>
      <c r="FQ28" s="3"/>
      <c r="FR28" s="3"/>
      <c r="FS28" s="3"/>
      <c r="FT28" s="3"/>
      <c r="FU28" s="3"/>
      <c r="FV28" s="3"/>
      <c r="FW28" s="3"/>
      <c r="FX28" s="3"/>
      <c r="FY28" s="3"/>
      <c r="FZ28" s="3"/>
      <c r="GA28" s="3"/>
      <c r="GB28" s="3"/>
      <c r="GC28" s="3"/>
      <c r="GD28" s="3"/>
      <c r="GE28" s="3"/>
      <c r="GF28" s="3"/>
      <c r="GG28" s="3"/>
      <c r="GH28" s="3"/>
      <c r="GI28" s="3"/>
      <c r="GJ28" s="3"/>
      <c r="GK28" s="3"/>
      <c r="GL28" s="3"/>
      <c r="GM28" s="3"/>
      <c r="GN28" s="3"/>
      <c r="GO28" s="3"/>
      <c r="GP28" s="3"/>
      <c r="GQ28" s="3"/>
      <c r="GR28" s="3"/>
      <c r="GS28" s="3"/>
      <c r="GT28" s="3"/>
      <c r="GU28" s="3"/>
      <c r="GV28" s="3"/>
      <c r="GW28" s="3"/>
      <c r="GX28" s="3"/>
      <c r="GY28" s="3"/>
      <c r="GZ28" s="3"/>
      <c r="HA28" s="3"/>
      <c r="HB28" s="3"/>
      <c r="HC28" s="3"/>
      <c r="HD28" s="3"/>
      <c r="HE28" s="3"/>
      <c r="HF28" s="3"/>
      <c r="HG28" s="3"/>
      <c r="HH28" s="3"/>
      <c r="HI28" s="3"/>
      <c r="HJ28" s="3"/>
      <c r="HK28" s="3"/>
      <c r="HL28" s="3"/>
      <c r="HM28" s="3"/>
      <c r="HN28" s="3"/>
      <c r="HO28" s="3"/>
      <c r="HP28" s="3"/>
    </row>
    <row r="29" spans="1:224" ht="14.25" thickBot="1" x14ac:dyDescent="0.3">
      <c r="A29" s="158" t="s">
        <v>128</v>
      </c>
      <c r="B29" s="9">
        <f>B24+1</f>
        <v>6</v>
      </c>
      <c r="C29" s="66" t="s">
        <v>56</v>
      </c>
      <c r="D29" s="75"/>
      <c r="E29" s="82">
        <f>IF(ISERR(AVERAGE(E30:E33)),"",AVERAGE(E30:E33))</f>
        <v>0.1646720440808839</v>
      </c>
      <c r="F29" s="78" t="str">
        <f>IF($D29="","",E29-VLOOKUP($D29,$B$4:$BS$990,4,FALSE))</f>
        <v/>
      </c>
      <c r="G29" s="44">
        <f t="shared" ref="G29:Q29" si="24">IF(ISERR(AVERAGE(G30:G33)),"",AVERAGE(G30:G33))</f>
        <v>0.53261650764809343</v>
      </c>
      <c r="H29" s="8">
        <f t="shared" si="24"/>
        <v>0.46836043758565016</v>
      </c>
      <c r="I29" s="8">
        <f t="shared" si="24"/>
        <v>6.4256070062443243E-2</v>
      </c>
      <c r="J29" s="44">
        <f>IF(ISERR(AVERAGE(J30:J33)),"",AVERAGE(J30:J33))</f>
        <v>9.2476219629473153E-2</v>
      </c>
      <c r="K29" s="56" t="str">
        <f>IF($D29="","",G29-VLOOKUP($D29,$B$4:$BS$990,6,FALSE))</f>
        <v/>
      </c>
      <c r="L29" s="56" t="str">
        <f>IF($D29="","",H29-VLOOKUP($D29,$B$4:$BS$990,7,FALSE))</f>
        <v/>
      </c>
      <c r="M29" s="56" t="str">
        <f>IF($D29="","",I29-VLOOKUP($D29,$B$4:$BS$990,8,FALSE))</f>
        <v/>
      </c>
      <c r="N29" s="74" t="str">
        <f>IF($D29="","",J29-VLOOKUP($D29,$B$4:$BS$990,9,FALSE))</f>
        <v/>
      </c>
      <c r="O29" s="82">
        <f t="shared" si="24"/>
        <v>0.20205218376160347</v>
      </c>
      <c r="P29" s="8">
        <f t="shared" si="24"/>
        <v>9.4700761976469164E-2</v>
      </c>
      <c r="Q29" s="8">
        <f t="shared" si="24"/>
        <v>-7.415475109924613E-2</v>
      </c>
      <c r="R29" s="56" t="str">
        <f>IF($D29="","",O29-VLOOKUP($D29,$B$4:$BS$990,14,FALSE))</f>
        <v/>
      </c>
      <c r="S29" s="56" t="str">
        <f>IF($D29="","",P29-VLOOKUP($D29,$B$4:$BS$990,15,FALSE))</f>
        <v/>
      </c>
      <c r="T29" s="78" t="str">
        <f>IF($D29="","",Q29-VLOOKUP($D29,$B$4:$BS$990,16,FALSE))</f>
        <v/>
      </c>
      <c r="U29" s="44">
        <f t="shared" ref="U29:AS29" si="25">IF(ISERR(AVERAGE(U30:U33)),"",AVERAGE(U30:U33))</f>
        <v>1.7570954874097344</v>
      </c>
      <c r="V29" s="11">
        <f t="shared" si="25"/>
        <v>0.33775279924653784</v>
      </c>
      <c r="W29" s="88">
        <f t="shared" si="25"/>
        <v>6.5817357618578279E-2</v>
      </c>
      <c r="X29" s="32">
        <f t="shared" si="25"/>
        <v>0.98726036427867414</v>
      </c>
      <c r="Y29" s="71" t="str">
        <f>IF($D29="","",W29-VLOOKUP($D29,$B$4:$BS$990,22,FALSE))</f>
        <v/>
      </c>
      <c r="Z29" s="89" t="str">
        <f>IF($D29="","",X29-VLOOKUP($D29,$B$4:$BS$990,23,FALSE))</f>
        <v/>
      </c>
      <c r="AA29" s="88">
        <f t="shared" si="25"/>
        <v>3.1932024060089597</v>
      </c>
      <c r="AB29" s="31">
        <f t="shared" si="25"/>
        <v>2.8079671859627182</v>
      </c>
      <c r="AC29" s="31">
        <f t="shared" si="25"/>
        <v>0.38523522004624172</v>
      </c>
      <c r="AD29" s="32">
        <f>IF(ISERR(AVERAGE(AD30:AD33)),"",AVERAGE(AD30:AD33))</f>
        <v>0.55442383549732577</v>
      </c>
      <c r="AE29" s="71" t="str">
        <f>IF($D29="","",AA29-VLOOKUP($D29,$B$4:$BS$990,26,FALSE))</f>
        <v/>
      </c>
      <c r="AF29" s="71" t="str">
        <f>IF($D29="","",AB29-VLOOKUP($D29,$B$4:$BS$990,27,FALSE))</f>
        <v/>
      </c>
      <c r="AG29" s="92" t="str">
        <f>IF($D29="","",AC29-VLOOKUP($D29,$B$4:$BS$990,28,FALSE))</f>
        <v/>
      </c>
      <c r="AH29" s="89" t="str">
        <f>IF($D29="","",AD29-VLOOKUP($D29,$B$4:$BS$990,29,FALSE))</f>
        <v/>
      </c>
      <c r="AI29" s="95">
        <f t="shared" si="25"/>
        <v>3.2344075803570029</v>
      </c>
      <c r="AJ29" s="35">
        <f t="shared" si="25"/>
        <v>0.87935771959794751</v>
      </c>
      <c r="AK29" s="138">
        <f>IF((ISERROR((Coeff!AB29+TestInfoPage!$B$6)/(Coeff!AA29+TestInfoPage!$B$5))),"",((Coeff!AB29+TestInfoPage!$B$6)/(Coeff!AA29+TestInfoPage!$B$5)))</f>
        <v>0.87935771959794751</v>
      </c>
      <c r="AL29" s="135" t="str">
        <f>IF($D29="","",AI29-VLOOKUP($D29,$B$4:$BS$990,34,FALSE))</f>
        <v/>
      </c>
      <c r="AM29" s="72" t="str">
        <f>IF($D29="","",AJ29-VLOOKUP($D29,$B$4:$BS$990,35,FALSE))</f>
        <v/>
      </c>
      <c r="AN29" s="115" t="str">
        <f>IF($D29="","",AK29-VLOOKUP($D29,$B$4:$BS$990,36,FALSE))</f>
        <v/>
      </c>
      <c r="AO29" s="134">
        <f t="shared" si="2"/>
        <v>2.2576867300984661E-2</v>
      </c>
      <c r="AP29" s="44" t="str">
        <f t="shared" si="25"/>
        <v/>
      </c>
      <c r="AQ29" s="8">
        <f t="shared" si="25"/>
        <v>1.2032577136651713E-2</v>
      </c>
      <c r="AR29" s="11" t="str">
        <f t="shared" si="25"/>
        <v/>
      </c>
      <c r="AS29" s="11">
        <f t="shared" si="25"/>
        <v>3.3121157465317609E-2</v>
      </c>
      <c r="AT29" s="56" t="str">
        <f>IF(ISERR(AP29-VLOOKUP($D29,$B$4:$BS$990,41,FALSE)),"",(AP29-VLOOKUP($D29,$B$4:$BS$990,41,FALSE)))</f>
        <v/>
      </c>
      <c r="AU29" s="56" t="e">
        <f>IF(ISERR(AQ29-VLOOKUP($D29,$B$4:$BS$990,42,FALSE)),"",(AQ29-VLOOKUP($D29,$B$4:$BS$990,42,FALSE)))</f>
        <v>#N/A</v>
      </c>
      <c r="AV29" s="74" t="str">
        <f>IF(ISERR(AR29-VLOOKUP($D29,$B$4:$BS$990,43,FALSE)),"",AR29-VLOOKUP($D29,$B$4:$BS$990,43,FALSE))</f>
        <v/>
      </c>
      <c r="AW29" s="74" t="e">
        <f>IF(ISERR(AS29-VLOOKUP($D29,$B$4:$BS$990,44,FALSE)),"",AS29-VLOOKUP($D29,$B$4:$BS$990,44,FALSE))</f>
        <v>#N/A</v>
      </c>
      <c r="AX29" s="82" t="str">
        <f t="shared" ref="AX29:AY29" si="26">IF(ISERR(AVERAGE(AX30:AX33)),"",AVERAGE(AX30:AX33))</f>
        <v/>
      </c>
      <c r="AY29" s="11">
        <f t="shared" si="26"/>
        <v>3.7006348670158284E-2</v>
      </c>
      <c r="AZ29" s="89" t="str">
        <f>IF(ISERR(AX29-VLOOKUP($D29,$B$4:$BS$990,49,FALSE)),"",(AX29-VLOOKUP($D29,$B$4:$BS$990,49,FALSE)))</f>
        <v/>
      </c>
      <c r="BA29" s="89" t="e">
        <f>IF(ISERR(AY29-VLOOKUP($D29,$B$4:$BS$990,50,FALSE)),"",(AY29-VLOOKUP($D29,$B$4:$BS$990,50,FALSE)))</f>
        <v>#N/A</v>
      </c>
      <c r="BB29" s="82">
        <f t="shared" ref="BB29:BS29" si="27">IF(ISERR(AVERAGE(BB30:BB33)),"",AVERAGE(BB30:BB33))</f>
        <v>-8.8521983864944434E-2</v>
      </c>
      <c r="BC29" s="8">
        <f t="shared" si="27"/>
        <v>-8.136517682776459E-2</v>
      </c>
      <c r="BD29" s="8">
        <f t="shared" si="27"/>
        <v>-8.5861850486577324E-2</v>
      </c>
      <c r="BE29" s="8">
        <f t="shared" si="27"/>
        <v>-8.1698896528235906E-2</v>
      </c>
      <c r="BF29" s="8">
        <f t="shared" si="27"/>
        <v>-9.10668370909678E-2</v>
      </c>
      <c r="BG29" s="8">
        <f t="shared" si="27"/>
        <v>-8.0745359103979036E-2</v>
      </c>
      <c r="BH29" s="8">
        <f t="shared" si="27"/>
        <v>-8.1084708417150056E-2</v>
      </c>
      <c r="BI29" s="8">
        <f t="shared" si="27"/>
        <v>-9.0438104747751796E-2</v>
      </c>
      <c r="BJ29" s="8">
        <f t="shared" si="27"/>
        <v>-9.0703882703676242E-2</v>
      </c>
      <c r="BK29" s="8">
        <f t="shared" si="27"/>
        <v>-8.0986207812738881E-2</v>
      </c>
      <c r="BL29" s="8">
        <f t="shared" si="27"/>
        <v>-8.4460880572384101E-2</v>
      </c>
      <c r="BM29" s="8">
        <f t="shared" si="27"/>
        <v>-7.7123092038733354E-2</v>
      </c>
      <c r="BN29" s="8">
        <f t="shared" si="27"/>
        <v>-8.8699205247776039E-2</v>
      </c>
      <c r="BO29" s="8">
        <f t="shared" si="27"/>
        <v>-8.1382166163686778E-2</v>
      </c>
      <c r="BP29" s="8">
        <f t="shared" si="27"/>
        <v>-8.4784556166496911E-2</v>
      </c>
      <c r="BQ29" s="8">
        <f t="shared" si="27"/>
        <v>-7.8832602038454561E-2</v>
      </c>
      <c r="BR29" s="8">
        <f t="shared" si="27"/>
        <v>-8.1522892700528746E-2</v>
      </c>
      <c r="BS29" s="103">
        <f t="shared" si="27"/>
        <v>-7.9275678592130888E-2</v>
      </c>
      <c r="BT29" s="106" t="str">
        <f>IF($D29="","",BB29-VLOOKUP($D29,$B$4:$BS$990,53,FALSE))</f>
        <v/>
      </c>
      <c r="BU29" s="56" t="str">
        <f>IF($D29="","",BC29-VLOOKUP($D29,$B$4:$BS$990,54,FALSE))</f>
        <v/>
      </c>
      <c r="BV29" s="56" t="str">
        <f>IF($D29="","",BD29-VLOOKUP($D29,$B$4:$BS$990,55,FALSE))</f>
        <v/>
      </c>
      <c r="BW29" s="56" t="str">
        <f>IF($D29="","",BE29-VLOOKUP($D29,$B$4:$BS$990,56,FALSE))</f>
        <v/>
      </c>
      <c r="BX29" s="56" t="str">
        <f>IF($D29="","",BF29-VLOOKUP($D29,$B$4:$BS$990,57,FALSE))</f>
        <v/>
      </c>
      <c r="BY29" s="56" t="str">
        <f>IF($D29="","",BG29-VLOOKUP($D29,$B$4:$BS$990,58,FALSE))</f>
        <v/>
      </c>
      <c r="BZ29" s="56" t="str">
        <f>IF($D29="","",BH29-VLOOKUP($D29,$B$4:$BS$990,59,FALSE))</f>
        <v/>
      </c>
      <c r="CA29" s="56" t="str">
        <f>IF($D29="","",BI29-VLOOKUP($D29,$B$4:$BS$990,60,FALSE))</f>
        <v/>
      </c>
      <c r="CB29" s="56" t="str">
        <f>IF($D29="","",BJ29-VLOOKUP($D29,$B$4:$BS$990,61,FALSE))</f>
        <v/>
      </c>
      <c r="CC29" s="56" t="str">
        <f>IF($D29="","",BK29-VLOOKUP($D29,$B$4:$BS$990,62,FALSE))</f>
        <v/>
      </c>
      <c r="CD29" s="56" t="str">
        <f>IF($D29="","",BL29-VLOOKUP($D29,$B$4:$BS$990,63,FALSE))</f>
        <v/>
      </c>
      <c r="CE29" s="56" t="str">
        <f>IF($D29="","",BM29-VLOOKUP($D29,$B$4:$BS$990,64,FALSE))</f>
        <v/>
      </c>
      <c r="CF29" s="56" t="str">
        <f>IF($D29="","",BN29-VLOOKUP($D29,$B$4:$BS$990,65,FALSE))</f>
        <v/>
      </c>
      <c r="CG29" s="56" t="str">
        <f>IF($D29="","",BO29-VLOOKUP($D29,$B$4:$BS$990,66,FALSE))</f>
        <v/>
      </c>
      <c r="CH29" s="56" t="str">
        <f>IF($D29="","",BP29-VLOOKUP($D29,$B$4:$BS$990,67,FALSE))</f>
        <v/>
      </c>
      <c r="CI29" s="56" t="str">
        <f>IF($D29="","",BQ29-VLOOKUP($D29,$B$4:$BS$990,68,FALSE))</f>
        <v/>
      </c>
      <c r="CJ29" s="56" t="str">
        <f>IF($D29="","",BR29-VLOOKUP($D29,$B$4:$BS$990,69,FALSE))</f>
        <v/>
      </c>
      <c r="CK29" s="78" t="str">
        <f>IF($D29="","",BS29-VLOOKUP($D29,$B$4:$BS$990,70,FALSE))</f>
        <v/>
      </c>
      <c r="CL29" s="1"/>
      <c r="DI29" s="3"/>
      <c r="DJ29" s="3"/>
      <c r="DK29" s="3"/>
      <c r="DL29" s="3"/>
      <c r="DM29" s="3"/>
      <c r="DN29" s="3"/>
      <c r="DO29" s="3"/>
      <c r="DP29" s="3"/>
      <c r="DQ29" s="3"/>
      <c r="DR29" s="3"/>
      <c r="DS29" s="3"/>
      <c r="DT29" s="3"/>
      <c r="DU29" s="3"/>
      <c r="DV29" s="3"/>
      <c r="DW29" s="3"/>
      <c r="DX29" s="3"/>
      <c r="DY29" s="3"/>
      <c r="DZ29" s="3"/>
      <c r="EA29" s="3"/>
      <c r="EB29" s="3"/>
      <c r="EC29" s="3"/>
      <c r="ED29" s="3"/>
      <c r="EE29" s="3"/>
      <c r="EF29" s="3"/>
      <c r="EG29" s="3"/>
      <c r="EH29" s="3"/>
      <c r="EI29" s="3"/>
      <c r="EJ29" s="3"/>
      <c r="EK29" s="3"/>
      <c r="EL29" s="3"/>
      <c r="EM29" s="3"/>
      <c r="EN29" s="3"/>
      <c r="EO29" s="3"/>
      <c r="EP29" s="3"/>
      <c r="EQ29" s="3"/>
      <c r="ER29" s="3"/>
      <c r="ES29" s="3"/>
      <c r="ET29" s="3"/>
      <c r="EU29" s="3"/>
      <c r="EV29" s="3"/>
      <c r="EW29" s="3"/>
      <c r="EX29" s="3"/>
      <c r="EY29" s="3"/>
      <c r="EZ29" s="3"/>
      <c r="FA29" s="3"/>
      <c r="FB29" s="3"/>
      <c r="FC29" s="3"/>
      <c r="FD29" s="3"/>
      <c r="FE29" s="3"/>
      <c r="FF29" s="3"/>
      <c r="FG29" s="3"/>
      <c r="FH29" s="3"/>
      <c r="FI29" s="3"/>
      <c r="FJ29" s="3"/>
      <c r="FK29" s="3"/>
      <c r="FL29" s="3"/>
      <c r="FM29" s="3"/>
      <c r="FN29" s="3"/>
      <c r="FO29" s="3"/>
      <c r="FP29" s="3"/>
      <c r="FQ29" s="3"/>
      <c r="FR29" s="3"/>
      <c r="FS29" s="3"/>
      <c r="FT29" s="3"/>
      <c r="FU29" s="3"/>
      <c r="FV29" s="3"/>
      <c r="FW29" s="3"/>
      <c r="FX29" s="3"/>
      <c r="FY29" s="3"/>
      <c r="FZ29" s="3"/>
      <c r="GA29" s="3"/>
      <c r="GB29" s="3"/>
      <c r="GC29" s="3"/>
      <c r="GD29" s="3"/>
      <c r="GE29" s="3"/>
      <c r="GF29" s="3"/>
      <c r="GG29" s="3"/>
      <c r="GH29" s="3"/>
      <c r="GI29" s="3"/>
      <c r="GJ29" s="3"/>
      <c r="GK29" s="3"/>
      <c r="GL29" s="3"/>
      <c r="GM29" s="3"/>
      <c r="GN29" s="3"/>
      <c r="GO29" s="3"/>
      <c r="GP29" s="3"/>
      <c r="GQ29" s="3"/>
      <c r="GR29" s="3"/>
      <c r="GS29" s="3"/>
      <c r="GT29" s="3"/>
      <c r="GU29" s="3"/>
      <c r="GV29" s="3"/>
      <c r="GW29" s="3"/>
      <c r="GX29" s="3"/>
      <c r="GY29" s="3"/>
      <c r="GZ29" s="3"/>
      <c r="HA29" s="3"/>
      <c r="HB29" s="3"/>
      <c r="HC29" s="3"/>
      <c r="HD29" s="3"/>
      <c r="HE29" s="3"/>
      <c r="HF29" s="3"/>
      <c r="HG29" s="3"/>
      <c r="HH29" s="3"/>
      <c r="HI29" s="3"/>
      <c r="HJ29" s="3"/>
      <c r="HK29" s="3"/>
      <c r="HL29" s="3"/>
      <c r="HM29" s="3"/>
      <c r="HN29" s="3"/>
      <c r="HO29" s="3"/>
      <c r="HP29" s="3"/>
    </row>
    <row r="30" spans="1:224" x14ac:dyDescent="0.25">
      <c r="A30" s="158" t="s">
        <v>123</v>
      </c>
      <c r="B30" s="10"/>
      <c r="C30" s="10">
        <v>1</v>
      </c>
      <c r="D30" s="76"/>
      <c r="E30" s="79">
        <v>0.1646720440808839</v>
      </c>
      <c r="F30" s="80"/>
      <c r="G30" s="7">
        <v>0.53261650764809343</v>
      </c>
      <c r="H30" s="7">
        <v>0.46836043758565016</v>
      </c>
      <c r="I30" s="7">
        <v>6.4256070062443243E-2</v>
      </c>
      <c r="J30" s="7">
        <v>9.2476219629473153E-2</v>
      </c>
      <c r="K30" s="7"/>
      <c r="L30" s="7"/>
      <c r="M30" s="7"/>
      <c r="N30" s="7"/>
      <c r="O30" s="79">
        <v>0.20205218376160347</v>
      </c>
      <c r="P30" s="7">
        <v>9.4700761976469164E-2</v>
      </c>
      <c r="Q30" s="7">
        <v>-7.415475109924613E-2</v>
      </c>
      <c r="R30" s="7"/>
      <c r="S30" s="7"/>
      <c r="T30" s="80"/>
      <c r="U30" s="6">
        <v>1.7570954874097344</v>
      </c>
      <c r="V30" s="6">
        <v>0.33775279924653784</v>
      </c>
      <c r="W30" s="90">
        <f>IF(ISERR(X30*$AC$1/375),"",(X30*$AC$1/375))</f>
        <v>6.5817357618578279E-2</v>
      </c>
      <c r="X30" s="15">
        <f>IF(ISERR(((($AC$1)^2)*0.002558)*E30*$F$1),"",(((($AC$1)^2)*0.002558)*E30*$F$1))</f>
        <v>0.98726036427867414</v>
      </c>
      <c r="Y30" s="15"/>
      <c r="Z30" s="91"/>
      <c r="AA30" s="90">
        <f t="shared" ref="AA30:AD33" si="28">IF(ISERR(((($AC$1)^2)*0.002558)*G30*$F$1),"",(((($AC$1)^2)*0.002558)*G30*$F$1))</f>
        <v>3.1932024060089597</v>
      </c>
      <c r="AB30" s="15">
        <f t="shared" si="28"/>
        <v>2.8079671859627182</v>
      </c>
      <c r="AC30" s="15">
        <f t="shared" si="28"/>
        <v>0.38523522004624172</v>
      </c>
      <c r="AD30" s="15">
        <f t="shared" si="28"/>
        <v>0.55442383549732577</v>
      </c>
      <c r="AE30" s="15"/>
      <c r="AF30" s="15"/>
      <c r="AG30" s="15"/>
      <c r="AH30" s="91"/>
      <c r="AI30" s="96">
        <f>IF(ISERR(AA30/X30),"",(AA30/X30))</f>
        <v>3.2344075803570029</v>
      </c>
      <c r="AJ30" s="36">
        <f>IF(ISERR(AB30/AA30),"",(AB30/AA30))</f>
        <v>0.87935771959794751</v>
      </c>
      <c r="AK30" s="139">
        <f>IF((ISERROR((Coeff!AB30+TestInfoPage!$B$6)/(Coeff!AA30+TestInfoPage!$B$5))),"",((Coeff!AB30+TestInfoPage!$B$6)/(Coeff!AA30+TestInfoPage!$B$5)))</f>
        <v>0.87935771959794751</v>
      </c>
      <c r="AL30" s="96"/>
      <c r="AM30" s="36"/>
      <c r="AN30" s="142"/>
      <c r="AO30" s="79">
        <f t="shared" si="2"/>
        <v>2.2576867300984661E-2</v>
      </c>
      <c r="AP30" s="4" t="s">
        <v>119</v>
      </c>
      <c r="AQ30" s="4">
        <v>1.2032577136651713E-2</v>
      </c>
      <c r="AR30" s="4" t="s">
        <v>119</v>
      </c>
      <c r="AS30" s="4">
        <v>3.3121157465317609E-2</v>
      </c>
      <c r="AT30" s="7"/>
      <c r="AU30" s="7"/>
      <c r="AV30" s="7"/>
      <c r="AW30" s="80"/>
      <c r="AX30" s="81" t="s">
        <v>119</v>
      </c>
      <c r="AY30" s="4">
        <v>3.7006348670158284E-2</v>
      </c>
      <c r="AZ30" s="15"/>
      <c r="BA30" s="91"/>
      <c r="BB30" s="162">
        <v>-8.8521983864944434E-2</v>
      </c>
      <c r="BC30" s="128">
        <v>-8.136517682776459E-2</v>
      </c>
      <c r="BD30" s="128">
        <v>-8.5861850486577324E-2</v>
      </c>
      <c r="BE30" s="128">
        <v>-8.1698896528235906E-2</v>
      </c>
      <c r="BF30" s="128">
        <v>-9.10668370909678E-2</v>
      </c>
      <c r="BG30" s="128">
        <v>-8.0745359103979036E-2</v>
      </c>
      <c r="BH30" s="128">
        <v>-8.1084708417150056E-2</v>
      </c>
      <c r="BI30" s="128">
        <v>-9.0438104747751796E-2</v>
      </c>
      <c r="BJ30" s="128">
        <v>-9.0703882703676242E-2</v>
      </c>
      <c r="BK30" s="128">
        <v>-8.0986207812738881E-2</v>
      </c>
      <c r="BL30" s="128">
        <v>-8.4460880572384101E-2</v>
      </c>
      <c r="BM30" s="128">
        <v>-7.7123092038733354E-2</v>
      </c>
      <c r="BN30" s="128">
        <v>-8.8699205247776039E-2</v>
      </c>
      <c r="BO30" s="128">
        <v>-8.1382166163686778E-2</v>
      </c>
      <c r="BP30" s="128">
        <v>-8.4784556166496911E-2</v>
      </c>
      <c r="BQ30" s="128">
        <v>-7.8832602038454561E-2</v>
      </c>
      <c r="BR30" s="128">
        <v>-8.1522892700528746E-2</v>
      </c>
      <c r="BS30" s="129">
        <v>-7.9275678592130888E-2</v>
      </c>
      <c r="BT30" s="107"/>
      <c r="BU30" s="100"/>
      <c r="BV30" s="100"/>
      <c r="BW30" s="100"/>
      <c r="BX30" s="100"/>
      <c r="BY30" s="100"/>
      <c r="BZ30" s="100"/>
      <c r="CA30" s="100"/>
      <c r="CB30" s="100"/>
      <c r="CC30" s="100"/>
      <c r="CD30" s="100"/>
      <c r="CE30" s="100"/>
      <c r="CF30" s="100"/>
      <c r="CG30" s="100"/>
      <c r="CH30" s="100"/>
      <c r="CI30" s="100"/>
      <c r="CJ30" s="100"/>
      <c r="CK30" s="108"/>
      <c r="CL30" s="1"/>
      <c r="DI30" s="3"/>
      <c r="DJ30" s="3"/>
      <c r="DK30" s="3"/>
      <c r="DL30" s="3"/>
      <c r="DM30" s="3"/>
      <c r="DN30" s="3"/>
      <c r="DO30" s="3"/>
      <c r="DP30" s="3"/>
      <c r="DQ30" s="3"/>
      <c r="DR30" s="3"/>
      <c r="DS30" s="3"/>
      <c r="DT30" s="3"/>
      <c r="DU30" s="3"/>
      <c r="DV30" s="3"/>
      <c r="DW30" s="3"/>
      <c r="DX30" s="3"/>
      <c r="DY30" s="3"/>
      <c r="DZ30" s="3"/>
      <c r="EA30" s="3"/>
      <c r="EB30" s="3"/>
      <c r="EC30" s="3"/>
      <c r="ED30" s="3"/>
      <c r="EE30" s="3"/>
      <c r="EF30" s="3"/>
      <c r="EG30" s="3"/>
      <c r="EH30" s="3"/>
      <c r="EI30" s="3"/>
      <c r="EJ30" s="3"/>
      <c r="EK30" s="3"/>
      <c r="EL30" s="3"/>
      <c r="EM30" s="3"/>
      <c r="EN30" s="3"/>
      <c r="EO30" s="3"/>
      <c r="EP30" s="3"/>
      <c r="EQ30" s="3"/>
      <c r="ER30" s="3"/>
      <c r="ES30" s="3"/>
      <c r="ET30" s="3"/>
      <c r="EU30" s="3"/>
      <c r="EV30" s="3"/>
      <c r="EW30" s="3"/>
      <c r="EX30" s="3"/>
      <c r="EY30" s="3"/>
      <c r="EZ30" s="3"/>
      <c r="FA30" s="3"/>
      <c r="FB30" s="3"/>
      <c r="FC30" s="3"/>
      <c r="FD30" s="3"/>
      <c r="FE30" s="3"/>
      <c r="FF30" s="3"/>
      <c r="FG30" s="3"/>
      <c r="FH30" s="3"/>
      <c r="FI30" s="3"/>
      <c r="FJ30" s="3"/>
      <c r="FK30" s="3"/>
      <c r="FL30" s="3"/>
      <c r="FM30" s="3"/>
      <c r="FN30" s="3"/>
      <c r="FO30" s="3"/>
      <c r="FP30" s="3"/>
      <c r="FQ30" s="3"/>
      <c r="FR30" s="3"/>
      <c r="FS30" s="3"/>
      <c r="FT30" s="3"/>
      <c r="FU30" s="3"/>
      <c r="FV30" s="3"/>
      <c r="FW30" s="3"/>
      <c r="FX30" s="3"/>
      <c r="FY30" s="3"/>
      <c r="FZ30" s="3"/>
      <c r="GA30" s="3"/>
      <c r="GB30" s="3"/>
      <c r="GC30" s="3"/>
      <c r="GD30" s="3"/>
      <c r="GE30" s="3"/>
      <c r="GF30" s="3"/>
      <c r="GG30" s="3"/>
      <c r="GH30" s="3"/>
      <c r="GI30" s="3"/>
      <c r="GJ30" s="3"/>
      <c r="GK30" s="3"/>
      <c r="GL30" s="3"/>
      <c r="GM30" s="3"/>
      <c r="GN30" s="3"/>
      <c r="GO30" s="3"/>
      <c r="GP30" s="3"/>
      <c r="GQ30" s="3"/>
      <c r="GR30" s="3"/>
      <c r="GS30" s="3"/>
      <c r="GT30" s="3"/>
      <c r="GU30" s="3"/>
      <c r="GV30" s="3"/>
      <c r="GW30" s="3"/>
      <c r="GX30" s="3"/>
      <c r="GY30" s="3"/>
      <c r="GZ30" s="3"/>
      <c r="HA30" s="3"/>
      <c r="HB30" s="3"/>
      <c r="HC30" s="3"/>
      <c r="HD30" s="3"/>
      <c r="HE30" s="3"/>
      <c r="HF30" s="3"/>
      <c r="HG30" s="3"/>
      <c r="HH30" s="3"/>
      <c r="HI30" s="3"/>
      <c r="HJ30" s="3"/>
      <c r="HK30" s="3"/>
      <c r="HL30" s="3"/>
      <c r="HM30" s="3"/>
      <c r="HN30" s="3"/>
      <c r="HO30" s="3"/>
      <c r="HP30" s="3"/>
    </row>
    <row r="31" spans="1:224" x14ac:dyDescent="0.25">
      <c r="A31" s="158">
        <v>0</v>
      </c>
      <c r="B31" s="10"/>
      <c r="C31" s="10">
        <v>2</v>
      </c>
      <c r="D31" s="76"/>
      <c r="E31" s="81" t="s">
        <v>119</v>
      </c>
      <c r="F31" s="80"/>
      <c r="G31" s="4" t="s">
        <v>119</v>
      </c>
      <c r="H31" s="4" t="s">
        <v>119</v>
      </c>
      <c r="I31" s="4" t="s">
        <v>119</v>
      </c>
      <c r="J31" s="4" t="s">
        <v>119</v>
      </c>
      <c r="K31" s="7"/>
      <c r="L31" s="7"/>
      <c r="M31" s="7"/>
      <c r="N31" s="7"/>
      <c r="O31" s="81" t="s">
        <v>119</v>
      </c>
      <c r="P31" s="4" t="s">
        <v>119</v>
      </c>
      <c r="Q31" s="4" t="s">
        <v>119</v>
      </c>
      <c r="R31" s="7"/>
      <c r="S31" s="7"/>
      <c r="T31" s="80"/>
      <c r="U31" s="6" t="s">
        <v>119</v>
      </c>
      <c r="V31" s="6" t="s">
        <v>119</v>
      </c>
      <c r="W31" s="90" t="str">
        <f>IF(ISERR(X31*$AC$1/375),"",(X31*$AC$1/375))</f>
        <v/>
      </c>
      <c r="X31" s="15" t="str">
        <f>IF(ISERR(((($AC$1)^2)*0.002558)*E31*$F$1),"",(((($AC$1)^2)*0.002558)*E31*$F$1))</f>
        <v/>
      </c>
      <c r="Y31" s="15"/>
      <c r="Z31" s="91"/>
      <c r="AA31" s="90" t="str">
        <f t="shared" si="28"/>
        <v/>
      </c>
      <c r="AB31" s="15" t="str">
        <f t="shared" si="28"/>
        <v/>
      </c>
      <c r="AC31" s="15" t="str">
        <f t="shared" si="28"/>
        <v/>
      </c>
      <c r="AD31" s="15" t="str">
        <f t="shared" si="28"/>
        <v/>
      </c>
      <c r="AE31" s="15"/>
      <c r="AF31" s="15"/>
      <c r="AG31" s="15"/>
      <c r="AH31" s="91"/>
      <c r="AI31" s="96" t="str">
        <f>IF(ISERR(AA31/X31),"",(AA31/X31))</f>
        <v/>
      </c>
      <c r="AJ31" s="97" t="str">
        <f>IF(ISERR(AB31/AA31),"",(AB31/AA31))</f>
        <v/>
      </c>
      <c r="AK31" s="139" t="str">
        <f>IF((ISERROR((Coeff!AB31+TestInfoPage!$B$6)/(Coeff!AA31+TestInfoPage!$B$5))),"",((Coeff!AB31+TestInfoPage!$B$6)/(Coeff!AA31+TestInfoPage!$B$5)))</f>
        <v/>
      </c>
      <c r="AL31" s="96"/>
      <c r="AM31" s="36"/>
      <c r="AN31" s="142"/>
      <c r="AO31" s="79" t="str">
        <f t="shared" si="2"/>
        <v/>
      </c>
      <c r="AP31" s="4" t="s">
        <v>119</v>
      </c>
      <c r="AQ31" s="4" t="s">
        <v>119</v>
      </c>
      <c r="AR31" s="4" t="s">
        <v>119</v>
      </c>
      <c r="AS31" s="4" t="s">
        <v>119</v>
      </c>
      <c r="AT31" s="7"/>
      <c r="AU31" s="7"/>
      <c r="AV31" s="7"/>
      <c r="AW31" s="80"/>
      <c r="AX31" s="81" t="s">
        <v>119</v>
      </c>
      <c r="AY31" s="4" t="s">
        <v>119</v>
      </c>
      <c r="AZ31" s="15"/>
      <c r="BA31" s="91"/>
      <c r="BB31" s="79" t="s">
        <v>119</v>
      </c>
      <c r="BC31" s="7" t="s">
        <v>119</v>
      </c>
      <c r="BD31" s="7" t="s">
        <v>119</v>
      </c>
      <c r="BE31" s="7" t="s">
        <v>119</v>
      </c>
      <c r="BF31" s="7" t="s">
        <v>119</v>
      </c>
      <c r="BG31" s="7" t="s">
        <v>119</v>
      </c>
      <c r="BH31" s="7" t="s">
        <v>119</v>
      </c>
      <c r="BI31" s="7" t="s">
        <v>119</v>
      </c>
      <c r="BJ31" s="7" t="s">
        <v>119</v>
      </c>
      <c r="BK31" s="7" t="s">
        <v>119</v>
      </c>
      <c r="BL31" s="7" t="s">
        <v>119</v>
      </c>
      <c r="BM31" s="7" t="s">
        <v>119</v>
      </c>
      <c r="BN31" s="7" t="s">
        <v>119</v>
      </c>
      <c r="BO31" s="7" t="s">
        <v>119</v>
      </c>
      <c r="BP31" s="7" t="s">
        <v>119</v>
      </c>
      <c r="BQ31" s="7" t="s">
        <v>119</v>
      </c>
      <c r="BR31" s="7" t="s">
        <v>119</v>
      </c>
      <c r="BS31" s="80" t="s">
        <v>119</v>
      </c>
      <c r="BT31" s="107"/>
      <c r="BU31" s="100"/>
      <c r="BV31" s="100"/>
      <c r="BW31" s="100"/>
      <c r="BX31" s="100"/>
      <c r="BY31" s="100"/>
      <c r="BZ31" s="100"/>
      <c r="CA31" s="100"/>
      <c r="CB31" s="100"/>
      <c r="CC31" s="100"/>
      <c r="CD31" s="100"/>
      <c r="CE31" s="100"/>
      <c r="CF31" s="100"/>
      <c r="CG31" s="100"/>
      <c r="CH31" s="100"/>
      <c r="CI31" s="100"/>
      <c r="CJ31" s="100"/>
      <c r="CK31" s="108"/>
      <c r="CL31" s="1"/>
      <c r="DI31" s="3"/>
      <c r="DJ31" s="3"/>
      <c r="DK31" s="3"/>
      <c r="DL31" s="3"/>
      <c r="DM31" s="3"/>
      <c r="DN31" s="3"/>
      <c r="DO31" s="3"/>
      <c r="DP31" s="3"/>
      <c r="DQ31" s="3"/>
      <c r="DR31" s="3"/>
      <c r="DS31" s="3"/>
      <c r="DT31" s="3"/>
      <c r="DU31" s="3"/>
      <c r="DV31" s="3"/>
      <c r="DW31" s="3"/>
      <c r="DX31" s="3"/>
      <c r="DY31" s="3"/>
      <c r="DZ31" s="3"/>
      <c r="EA31" s="3"/>
      <c r="EB31" s="3"/>
      <c r="EC31" s="3"/>
      <c r="ED31" s="3"/>
      <c r="EE31" s="3"/>
      <c r="EF31" s="3"/>
      <c r="EG31" s="3"/>
      <c r="EH31" s="3"/>
      <c r="EI31" s="3"/>
      <c r="EJ31" s="3"/>
      <c r="EK31" s="3"/>
      <c r="EL31" s="3"/>
      <c r="EM31" s="3"/>
      <c r="EN31" s="3"/>
      <c r="EO31" s="3"/>
      <c r="EP31" s="3"/>
      <c r="EQ31" s="3"/>
      <c r="ER31" s="3"/>
      <c r="ES31" s="3"/>
      <c r="ET31" s="3"/>
      <c r="EU31" s="3"/>
      <c r="EV31" s="3"/>
      <c r="EW31" s="3"/>
      <c r="EX31" s="3"/>
      <c r="EY31" s="3"/>
      <c r="EZ31" s="3"/>
      <c r="FA31" s="3"/>
      <c r="FB31" s="3"/>
      <c r="FC31" s="3"/>
      <c r="FD31" s="3"/>
      <c r="FE31" s="3"/>
      <c r="FF31" s="3"/>
      <c r="FG31" s="3"/>
      <c r="FH31" s="3"/>
      <c r="FI31" s="3"/>
      <c r="FJ31" s="3"/>
      <c r="FK31" s="3"/>
      <c r="FL31" s="3"/>
      <c r="FM31" s="3"/>
      <c r="FN31" s="3"/>
      <c r="FO31" s="3"/>
      <c r="FP31" s="3"/>
      <c r="FQ31" s="3"/>
      <c r="FR31" s="3"/>
      <c r="FS31" s="3"/>
      <c r="FT31" s="3"/>
      <c r="FU31" s="3"/>
      <c r="FV31" s="3"/>
      <c r="FW31" s="3"/>
      <c r="FX31" s="3"/>
      <c r="FY31" s="3"/>
      <c r="FZ31" s="3"/>
      <c r="GA31" s="3"/>
      <c r="GB31" s="3"/>
      <c r="GC31" s="3"/>
      <c r="GD31" s="3"/>
      <c r="GE31" s="3"/>
      <c r="GF31" s="3"/>
      <c r="GG31" s="3"/>
      <c r="GH31" s="3"/>
      <c r="GI31" s="3"/>
      <c r="GJ31" s="3"/>
      <c r="GK31" s="3"/>
      <c r="GL31" s="3"/>
      <c r="GM31" s="3"/>
      <c r="GN31" s="3"/>
      <c r="GO31" s="3"/>
      <c r="GP31" s="3"/>
      <c r="GQ31" s="3"/>
      <c r="GR31" s="3"/>
      <c r="GS31" s="3"/>
      <c r="GT31" s="3"/>
      <c r="GU31" s="3"/>
      <c r="GV31" s="3"/>
      <c r="GW31" s="3"/>
      <c r="GX31" s="3"/>
      <c r="GY31" s="3"/>
      <c r="GZ31" s="3"/>
      <c r="HA31" s="3"/>
      <c r="HB31" s="3"/>
      <c r="HC31" s="3"/>
      <c r="HD31" s="3"/>
      <c r="HE31" s="3"/>
      <c r="HF31" s="3"/>
      <c r="HG31" s="3"/>
      <c r="HH31" s="3"/>
      <c r="HI31" s="3"/>
      <c r="HJ31" s="3"/>
      <c r="HK31" s="3"/>
      <c r="HL31" s="3"/>
      <c r="HM31" s="3"/>
      <c r="HN31" s="3"/>
      <c r="HO31" s="3"/>
      <c r="HP31" s="3"/>
    </row>
    <row r="32" spans="1:224" ht="13.5" customHeight="1" x14ac:dyDescent="0.25">
      <c r="A32" s="158">
        <v>0</v>
      </c>
      <c r="B32" s="10"/>
      <c r="C32" s="10">
        <v>3</v>
      </c>
      <c r="D32" s="76"/>
      <c r="E32" s="81" t="s">
        <v>119</v>
      </c>
      <c r="F32" s="80"/>
      <c r="G32" s="4" t="s">
        <v>119</v>
      </c>
      <c r="H32" s="4" t="s">
        <v>119</v>
      </c>
      <c r="I32" s="4" t="s">
        <v>119</v>
      </c>
      <c r="J32" s="4" t="s">
        <v>119</v>
      </c>
      <c r="K32" s="7"/>
      <c r="L32" s="7"/>
      <c r="M32" s="7"/>
      <c r="N32" s="7"/>
      <c r="O32" s="81" t="s">
        <v>119</v>
      </c>
      <c r="P32" s="4" t="s">
        <v>119</v>
      </c>
      <c r="Q32" s="4" t="s">
        <v>119</v>
      </c>
      <c r="R32" s="7"/>
      <c r="S32" s="7"/>
      <c r="T32" s="80"/>
      <c r="U32" s="6" t="s">
        <v>119</v>
      </c>
      <c r="V32" s="6" t="s">
        <v>119</v>
      </c>
      <c r="W32" s="90" t="str">
        <f>IF(ISERR(X32*$AC$1/375),"",(X32*$AC$1/375))</f>
        <v/>
      </c>
      <c r="X32" s="15" t="str">
        <f>IF(ISERR(((($AC$1)^2)*0.002558)*E32*$F$1),"",(((($AC$1)^2)*0.002558)*E32*$F$1))</f>
        <v/>
      </c>
      <c r="Y32" s="15"/>
      <c r="Z32" s="91"/>
      <c r="AA32" s="90" t="str">
        <f t="shared" si="28"/>
        <v/>
      </c>
      <c r="AB32" s="15" t="str">
        <f t="shared" si="28"/>
        <v/>
      </c>
      <c r="AC32" s="15" t="str">
        <f t="shared" si="28"/>
        <v/>
      </c>
      <c r="AD32" s="15" t="str">
        <f t="shared" si="28"/>
        <v/>
      </c>
      <c r="AE32" s="15"/>
      <c r="AF32" s="15"/>
      <c r="AG32" s="15"/>
      <c r="AH32" s="91"/>
      <c r="AI32" s="96" t="str">
        <f>IF(ISERR(AA32/X32),"",(AA32/X32))</f>
        <v/>
      </c>
      <c r="AJ32" s="97" t="str">
        <f>IF(ISERR(AB32/AA32),"",(AB32/AA32))</f>
        <v/>
      </c>
      <c r="AK32" s="139" t="str">
        <f>IF((ISERROR((Coeff!AB32+TestInfoPage!$B$6)/(Coeff!AA32+TestInfoPage!$B$5))),"",((Coeff!AB32+TestInfoPage!$B$6)/(Coeff!AA32+TestInfoPage!$B$5)))</f>
        <v/>
      </c>
      <c r="AL32" s="96"/>
      <c r="AM32" s="36"/>
      <c r="AN32" s="142"/>
      <c r="AO32" s="79" t="str">
        <f t="shared" si="2"/>
        <v/>
      </c>
      <c r="AP32" s="4" t="s">
        <v>119</v>
      </c>
      <c r="AQ32" s="4" t="s">
        <v>119</v>
      </c>
      <c r="AR32" s="4" t="s">
        <v>119</v>
      </c>
      <c r="AS32" s="4" t="s">
        <v>119</v>
      </c>
      <c r="AT32" s="7"/>
      <c r="AU32" s="7"/>
      <c r="AV32" s="7"/>
      <c r="AW32" s="80"/>
      <c r="AX32" s="81" t="s">
        <v>119</v>
      </c>
      <c r="AY32" s="4" t="s">
        <v>119</v>
      </c>
      <c r="AZ32" s="15"/>
      <c r="BA32" s="91"/>
      <c r="BB32" s="79" t="s">
        <v>119</v>
      </c>
      <c r="BC32" s="7" t="s">
        <v>119</v>
      </c>
      <c r="BD32" s="7" t="s">
        <v>119</v>
      </c>
      <c r="BE32" s="7" t="s">
        <v>119</v>
      </c>
      <c r="BF32" s="7" t="s">
        <v>119</v>
      </c>
      <c r="BG32" s="7" t="s">
        <v>119</v>
      </c>
      <c r="BH32" s="7" t="s">
        <v>119</v>
      </c>
      <c r="BI32" s="7" t="s">
        <v>119</v>
      </c>
      <c r="BJ32" s="7" t="s">
        <v>119</v>
      </c>
      <c r="BK32" s="7" t="s">
        <v>119</v>
      </c>
      <c r="BL32" s="7" t="s">
        <v>119</v>
      </c>
      <c r="BM32" s="7" t="s">
        <v>119</v>
      </c>
      <c r="BN32" s="7" t="s">
        <v>119</v>
      </c>
      <c r="BO32" s="7" t="s">
        <v>119</v>
      </c>
      <c r="BP32" s="7" t="s">
        <v>119</v>
      </c>
      <c r="BQ32" s="7" t="s">
        <v>119</v>
      </c>
      <c r="BR32" s="7" t="s">
        <v>119</v>
      </c>
      <c r="BS32" s="80" t="s">
        <v>119</v>
      </c>
      <c r="BT32" s="107"/>
      <c r="BU32" s="100"/>
      <c r="BV32" s="100"/>
      <c r="BW32" s="100"/>
      <c r="BX32" s="100"/>
      <c r="BY32" s="100"/>
      <c r="BZ32" s="100"/>
      <c r="CA32" s="100"/>
      <c r="CB32" s="100"/>
      <c r="CC32" s="100"/>
      <c r="CD32" s="100"/>
      <c r="CE32" s="100"/>
      <c r="CF32" s="100"/>
      <c r="CG32" s="100"/>
      <c r="CH32" s="100"/>
      <c r="CI32" s="100"/>
      <c r="CJ32" s="100"/>
      <c r="CK32" s="108"/>
      <c r="CL32" s="1"/>
      <c r="DI32" s="3"/>
      <c r="DJ32" s="3"/>
      <c r="DK32" s="3"/>
      <c r="DL32" s="3"/>
      <c r="DM32" s="3"/>
      <c r="DN32" s="3"/>
      <c r="DO32" s="3"/>
      <c r="DP32" s="3"/>
      <c r="DQ32" s="3"/>
      <c r="DR32" s="3"/>
      <c r="DS32" s="3"/>
      <c r="DT32" s="3"/>
      <c r="DU32" s="3"/>
      <c r="DV32" s="3"/>
      <c r="DW32" s="3"/>
      <c r="DX32" s="3"/>
      <c r="DY32" s="3"/>
      <c r="DZ32" s="3"/>
      <c r="EA32" s="3"/>
      <c r="EB32" s="3"/>
      <c r="EC32" s="3"/>
      <c r="ED32" s="3"/>
      <c r="EE32" s="3"/>
      <c r="EF32" s="3"/>
      <c r="EG32" s="3"/>
      <c r="EH32" s="3"/>
      <c r="EI32" s="3"/>
      <c r="EJ32" s="3"/>
      <c r="EK32" s="3"/>
      <c r="EL32" s="3"/>
      <c r="EM32" s="3"/>
      <c r="EN32" s="3"/>
      <c r="EO32" s="3"/>
      <c r="EP32" s="3"/>
      <c r="EQ32" s="3"/>
      <c r="ER32" s="3"/>
      <c r="ES32" s="3"/>
      <c r="ET32" s="3"/>
      <c r="EU32" s="3"/>
      <c r="EV32" s="3"/>
      <c r="EW32" s="3"/>
      <c r="EX32" s="3"/>
      <c r="EY32" s="3"/>
      <c r="EZ32" s="3"/>
      <c r="FA32" s="3"/>
      <c r="FB32" s="3"/>
      <c r="FC32" s="3"/>
      <c r="FD32" s="3"/>
      <c r="FE32" s="3"/>
      <c r="FF32" s="3"/>
      <c r="FG32" s="3"/>
      <c r="FH32" s="3"/>
      <c r="FI32" s="3"/>
      <c r="FJ32" s="3"/>
      <c r="FK32" s="3"/>
      <c r="FL32" s="3"/>
      <c r="FM32" s="3"/>
      <c r="FN32" s="3"/>
      <c r="FO32" s="3"/>
      <c r="FP32" s="3"/>
      <c r="FQ32" s="3"/>
      <c r="FR32" s="3"/>
      <c r="FS32" s="3"/>
      <c r="FT32" s="3"/>
      <c r="FU32" s="3"/>
      <c r="FV32" s="3"/>
      <c r="FW32" s="3"/>
      <c r="FX32" s="3"/>
      <c r="FY32" s="3"/>
      <c r="FZ32" s="3"/>
      <c r="GA32" s="3"/>
      <c r="GB32" s="3"/>
      <c r="GC32" s="3"/>
      <c r="GD32" s="3"/>
      <c r="GE32" s="3"/>
      <c r="GF32" s="3"/>
      <c r="GG32" s="3"/>
      <c r="GH32" s="3"/>
      <c r="GI32" s="3"/>
      <c r="GJ32" s="3"/>
      <c r="GK32" s="3"/>
      <c r="GL32" s="3"/>
      <c r="GM32" s="3"/>
      <c r="GN32" s="3"/>
      <c r="GO32" s="3"/>
      <c r="GP32" s="3"/>
      <c r="GQ32" s="3"/>
      <c r="GR32" s="3"/>
      <c r="GS32" s="3"/>
      <c r="GT32" s="3"/>
      <c r="GU32" s="3"/>
      <c r="GV32" s="3"/>
      <c r="GW32" s="3"/>
      <c r="GX32" s="3"/>
      <c r="GY32" s="3"/>
      <c r="GZ32" s="3"/>
      <c r="HA32" s="3"/>
      <c r="HB32" s="3"/>
      <c r="HC32" s="3"/>
      <c r="HD32" s="3"/>
      <c r="HE32" s="3"/>
      <c r="HF32" s="3"/>
      <c r="HG32" s="3"/>
      <c r="HH32" s="3"/>
      <c r="HI32" s="3"/>
      <c r="HJ32" s="3"/>
      <c r="HK32" s="3"/>
      <c r="HL32" s="3"/>
      <c r="HM32" s="3"/>
      <c r="HN32" s="3"/>
      <c r="HO32" s="3"/>
      <c r="HP32" s="3"/>
    </row>
    <row r="33" spans="1:224" ht="13.5" customHeight="1" thickBot="1" x14ac:dyDescent="0.3">
      <c r="A33" s="158">
        <v>0</v>
      </c>
      <c r="B33" s="10"/>
      <c r="C33" s="10">
        <v>4</v>
      </c>
      <c r="D33" s="76"/>
      <c r="E33" s="81" t="s">
        <v>119</v>
      </c>
      <c r="F33" s="80"/>
      <c r="G33" s="4" t="s">
        <v>119</v>
      </c>
      <c r="H33" s="4" t="s">
        <v>119</v>
      </c>
      <c r="I33" s="4" t="s">
        <v>119</v>
      </c>
      <c r="J33" s="4" t="s">
        <v>119</v>
      </c>
      <c r="K33" s="7"/>
      <c r="L33" s="7"/>
      <c r="M33" s="7"/>
      <c r="N33" s="7"/>
      <c r="O33" s="81" t="s">
        <v>119</v>
      </c>
      <c r="P33" s="4" t="s">
        <v>119</v>
      </c>
      <c r="Q33" s="4" t="s">
        <v>119</v>
      </c>
      <c r="R33" s="7"/>
      <c r="S33" s="7"/>
      <c r="T33" s="80"/>
      <c r="U33" s="6" t="s">
        <v>119</v>
      </c>
      <c r="V33" s="6" t="s">
        <v>119</v>
      </c>
      <c r="W33" s="90" t="str">
        <f>IF(ISERR(X33*$AC$1/375),"",(X33*$AC$1/375))</f>
        <v/>
      </c>
      <c r="X33" s="15" t="str">
        <f>IF(ISERR(((($AC$1)^2)*0.002558)*E33*$F$1),"",(((($AC$1)^2)*0.002558)*E33*$F$1))</f>
        <v/>
      </c>
      <c r="Y33" s="15"/>
      <c r="Z33" s="91"/>
      <c r="AA33" s="90" t="str">
        <f t="shared" si="28"/>
        <v/>
      </c>
      <c r="AB33" s="15" t="str">
        <f t="shared" si="28"/>
        <v/>
      </c>
      <c r="AC33" s="15" t="str">
        <f t="shared" si="28"/>
        <v/>
      </c>
      <c r="AD33" s="15" t="str">
        <f t="shared" si="28"/>
        <v/>
      </c>
      <c r="AE33" s="15"/>
      <c r="AF33" s="15"/>
      <c r="AG33" s="15"/>
      <c r="AH33" s="91"/>
      <c r="AI33" s="96" t="str">
        <f>IF(ISERR(AA33/X33),"",(AA33/X33))</f>
        <v/>
      </c>
      <c r="AJ33" s="97" t="str">
        <f>IF(ISERR(AB33/AA33),"",(AB33/AA33))</f>
        <v/>
      </c>
      <c r="AK33" s="139" t="str">
        <f>IF((ISERROR((Coeff!AB33+TestInfoPage!$B$6)/(Coeff!AA33+TestInfoPage!$B$5))),"",((Coeff!AB33+TestInfoPage!$B$6)/(Coeff!AA33+TestInfoPage!$B$5)))</f>
        <v/>
      </c>
      <c r="AL33" s="96"/>
      <c r="AM33" s="36"/>
      <c r="AN33" s="142"/>
      <c r="AO33" s="79" t="str">
        <f t="shared" si="2"/>
        <v/>
      </c>
      <c r="AP33" s="4" t="s">
        <v>119</v>
      </c>
      <c r="AQ33" s="4" t="s">
        <v>119</v>
      </c>
      <c r="AR33" s="4" t="s">
        <v>119</v>
      </c>
      <c r="AS33" s="4" t="s">
        <v>119</v>
      </c>
      <c r="AT33" s="7"/>
      <c r="AU33" s="7"/>
      <c r="AV33" s="7"/>
      <c r="AW33" s="80"/>
      <c r="AX33" s="81" t="s">
        <v>119</v>
      </c>
      <c r="AY33" s="4" t="s">
        <v>119</v>
      </c>
      <c r="AZ33" s="15"/>
      <c r="BA33" s="91"/>
      <c r="BB33" s="163" t="s">
        <v>119</v>
      </c>
      <c r="BC33" s="157" t="s">
        <v>119</v>
      </c>
      <c r="BD33" s="157" t="s">
        <v>119</v>
      </c>
      <c r="BE33" s="157" t="s">
        <v>119</v>
      </c>
      <c r="BF33" s="157" t="s">
        <v>119</v>
      </c>
      <c r="BG33" s="157" t="s">
        <v>119</v>
      </c>
      <c r="BH33" s="157" t="s">
        <v>119</v>
      </c>
      <c r="BI33" s="157" t="s">
        <v>119</v>
      </c>
      <c r="BJ33" s="157" t="s">
        <v>119</v>
      </c>
      <c r="BK33" s="157" t="s">
        <v>119</v>
      </c>
      <c r="BL33" s="157" t="s">
        <v>119</v>
      </c>
      <c r="BM33" s="157" t="s">
        <v>119</v>
      </c>
      <c r="BN33" s="157" t="s">
        <v>119</v>
      </c>
      <c r="BO33" s="157" t="s">
        <v>119</v>
      </c>
      <c r="BP33" s="157" t="s">
        <v>119</v>
      </c>
      <c r="BQ33" s="157" t="s">
        <v>119</v>
      </c>
      <c r="BR33" s="157" t="s">
        <v>119</v>
      </c>
      <c r="BS33" s="84" t="s">
        <v>119</v>
      </c>
      <c r="BT33" s="107"/>
      <c r="BU33" s="100"/>
      <c r="BV33" s="100"/>
      <c r="BW33" s="100"/>
      <c r="BX33" s="100"/>
      <c r="BY33" s="100"/>
      <c r="BZ33" s="100"/>
      <c r="CA33" s="100"/>
      <c r="CB33" s="100"/>
      <c r="CC33" s="100"/>
      <c r="CD33" s="100"/>
      <c r="CE33" s="100"/>
      <c r="CF33" s="100"/>
      <c r="CG33" s="100"/>
      <c r="CH33" s="100"/>
      <c r="CI33" s="100"/>
      <c r="CJ33" s="100"/>
      <c r="CK33" s="108"/>
      <c r="CL33" s="1"/>
      <c r="DI33" s="3"/>
      <c r="DJ33" s="3"/>
      <c r="DK33" s="3"/>
      <c r="DL33" s="3"/>
      <c r="DM33" s="3"/>
      <c r="DN33" s="3"/>
      <c r="DO33" s="3"/>
      <c r="DP33" s="3"/>
      <c r="DQ33" s="3"/>
      <c r="DR33" s="3"/>
      <c r="DS33" s="3"/>
      <c r="DT33" s="3"/>
      <c r="DU33" s="3"/>
      <c r="DV33" s="3"/>
      <c r="DW33" s="3"/>
      <c r="DX33" s="3"/>
      <c r="DY33" s="3"/>
      <c r="DZ33" s="3"/>
      <c r="EA33" s="3"/>
      <c r="EB33" s="3"/>
      <c r="EC33" s="3"/>
      <c r="ED33" s="3"/>
      <c r="EE33" s="3"/>
      <c r="EF33" s="3"/>
      <c r="EG33" s="3"/>
      <c r="EH33" s="3"/>
      <c r="EI33" s="3"/>
      <c r="EJ33" s="3"/>
      <c r="EK33" s="3"/>
      <c r="EL33" s="3"/>
      <c r="EM33" s="3"/>
      <c r="EN33" s="3"/>
      <c r="EO33" s="3"/>
      <c r="EP33" s="3"/>
      <c r="EQ33" s="3"/>
      <c r="ER33" s="3"/>
      <c r="ES33" s="3"/>
      <c r="ET33" s="3"/>
      <c r="EU33" s="3"/>
      <c r="EV33" s="3"/>
      <c r="EW33" s="3"/>
      <c r="EX33" s="3"/>
      <c r="EY33" s="3"/>
      <c r="EZ33" s="3"/>
      <c r="FA33" s="3"/>
      <c r="FB33" s="3"/>
      <c r="FC33" s="3"/>
      <c r="FD33" s="3"/>
      <c r="FE33" s="3"/>
      <c r="FF33" s="3"/>
      <c r="FG33" s="3"/>
      <c r="FH33" s="3"/>
      <c r="FI33" s="3"/>
      <c r="FJ33" s="3"/>
      <c r="FK33" s="3"/>
      <c r="FL33" s="3"/>
      <c r="FM33" s="3"/>
      <c r="FN33" s="3"/>
      <c r="FO33" s="3"/>
      <c r="FP33" s="3"/>
      <c r="FQ33" s="3"/>
      <c r="FR33" s="3"/>
      <c r="FS33" s="3"/>
      <c r="FT33" s="3"/>
      <c r="FU33" s="3"/>
      <c r="FV33" s="3"/>
      <c r="FW33" s="3"/>
      <c r="FX33" s="3"/>
      <c r="FY33" s="3"/>
      <c r="FZ33" s="3"/>
      <c r="GA33" s="3"/>
      <c r="GB33" s="3"/>
      <c r="GC33" s="3"/>
      <c r="GD33" s="3"/>
      <c r="GE33" s="3"/>
      <c r="GF33" s="3"/>
      <c r="GG33" s="3"/>
      <c r="GH33" s="3"/>
      <c r="GI33" s="3"/>
      <c r="GJ33" s="3"/>
      <c r="GK33" s="3"/>
      <c r="GL33" s="3"/>
      <c r="GM33" s="3"/>
      <c r="GN33" s="3"/>
      <c r="GO33" s="3"/>
      <c r="GP33" s="3"/>
      <c r="GQ33" s="3"/>
      <c r="GR33" s="3"/>
      <c r="GS33" s="3"/>
      <c r="GT33" s="3"/>
      <c r="GU33" s="3"/>
      <c r="GV33" s="3"/>
      <c r="GW33" s="3"/>
      <c r="GX33" s="3"/>
      <c r="GY33" s="3"/>
      <c r="GZ33" s="3"/>
      <c r="HA33" s="3"/>
      <c r="HB33" s="3"/>
      <c r="HC33" s="3"/>
      <c r="HD33" s="3"/>
      <c r="HE33" s="3"/>
      <c r="HF33" s="3"/>
      <c r="HG33" s="3"/>
      <c r="HH33" s="3"/>
      <c r="HI33" s="3"/>
      <c r="HJ33" s="3"/>
      <c r="HK33" s="3"/>
      <c r="HL33" s="3"/>
      <c r="HM33" s="3"/>
      <c r="HN33" s="3"/>
      <c r="HO33" s="3"/>
      <c r="HP33" s="3"/>
    </row>
    <row r="34" spans="1:224" ht="14.25" thickBot="1" x14ac:dyDescent="0.3">
      <c r="A34" s="158" t="s">
        <v>129</v>
      </c>
      <c r="B34" s="9">
        <f>B29+1</f>
        <v>7</v>
      </c>
      <c r="C34" s="66" t="s">
        <v>56</v>
      </c>
      <c r="D34" s="75">
        <v>3</v>
      </c>
      <c r="E34" s="82">
        <f>IF(ISERR(AVERAGE(E35:E38)),"",AVERAGE(E35:E38))</f>
        <v>0.15499985056681773</v>
      </c>
      <c r="F34" s="78">
        <f>IF($D34="","",E34-VLOOKUP($D34,$B$4:$BS$990,4,FALSE))</f>
        <v>9.1882249499547486E-5</v>
      </c>
      <c r="G34" s="44">
        <f t="shared" ref="G34:Q34" si="29">IF(ISERR(AVERAGE(G35:G38)),"",AVERAGE(G35:G38))</f>
        <v>0.41410661419060385</v>
      </c>
      <c r="H34" s="8">
        <f t="shared" si="29"/>
        <v>0.362900450976123</v>
      </c>
      <c r="I34" s="8">
        <f t="shared" si="29"/>
        <v>5.1206163214480835E-2</v>
      </c>
      <c r="J34" s="44">
        <f>IF(ISERR(AVERAGE(J35:J38)),"",AVERAGE(J35:J38))</f>
        <v>1.8889802943305813E-2</v>
      </c>
      <c r="K34" s="56">
        <f>IF($D34="","",G34-VLOOKUP($D34,$B$4:$BS$990,6,FALSE))</f>
        <v>8.3179426713829274E-2</v>
      </c>
      <c r="L34" s="56">
        <f>IF($D34="","",H34-VLOOKUP($D34,$B$4:$BS$990,7,FALSE))</f>
        <v>9.2597033859386668E-2</v>
      </c>
      <c r="M34" s="56">
        <f>IF($D34="","",I34-VLOOKUP($D34,$B$4:$BS$990,8,FALSE))</f>
        <v>-9.4176071455573801E-3</v>
      </c>
      <c r="N34" s="74">
        <f>IF($D34="","",J34-VLOOKUP($D34,$B$4:$BS$990,9,FALSE))</f>
        <v>5.4822131831029339E-2</v>
      </c>
      <c r="O34" s="82">
        <f t="shared" si="29"/>
        <v>0.1558471438808211</v>
      </c>
      <c r="P34" s="8">
        <f t="shared" si="29"/>
        <v>-2.9772516953620862E-2</v>
      </c>
      <c r="Q34" s="8">
        <f t="shared" si="29"/>
        <v>-1.1278976798353463E-2</v>
      </c>
      <c r="R34" s="56">
        <f>IF($D34="","",O34-VLOOKUP($D34,$B$4:$BS$990,14,FALSE))</f>
        <v>5.1007320502472031E-2</v>
      </c>
      <c r="S34" s="56">
        <f>IF($D34="","",P34-VLOOKUP($D34,$B$4:$BS$990,15,FALSE))</f>
        <v>-5.7425660897548761E-2</v>
      </c>
      <c r="T34" s="78">
        <f>IF($D34="","",Q34-VLOOKUP($D34,$B$4:$BS$990,16,FALSE))</f>
        <v>6.35846923873883E-2</v>
      </c>
      <c r="U34" s="44">
        <f t="shared" ref="U34:AS34" si="30">IF(ISERR(AVERAGE(U35:U38)),"",AVERAGE(U35:U38))</f>
        <v>1.7579766694899415</v>
      </c>
      <c r="V34" s="11">
        <f t="shared" si="30"/>
        <v>0.33792218202417768</v>
      </c>
      <c r="W34" s="88">
        <f t="shared" si="30"/>
        <v>6.1951502773424955E-2</v>
      </c>
      <c r="X34" s="32">
        <f t="shared" si="30"/>
        <v>0.92927254160137429</v>
      </c>
      <c r="Y34" s="71">
        <f>IF($D34="","",W34-VLOOKUP($D34,$B$4:$BS$990,22,FALSE))</f>
        <v>3.672418659685095E-5</v>
      </c>
      <c r="Z34" s="89">
        <f>IF($D34="","",X34-VLOOKUP($D34,$B$4:$BS$990,23,FALSE))</f>
        <v>5.508627989526671E-4</v>
      </c>
      <c r="AA34" s="88">
        <f t="shared" si="30"/>
        <v>2.4826985603896046</v>
      </c>
      <c r="AB34" s="31">
        <f t="shared" si="30"/>
        <v>2.1757016099927875</v>
      </c>
      <c r="AC34" s="31">
        <f t="shared" si="30"/>
        <v>0.30699695039681707</v>
      </c>
      <c r="AD34" s="32">
        <f>IF(ISERR(AVERAGE(AD35:AD38)),"",AVERAGE(AD35:AD38))</f>
        <v>0.11325027170853812</v>
      </c>
      <c r="AE34" s="71">
        <f>IF($D34="","",AA34-VLOOKUP($D34,$B$4:$BS$990,26,FALSE))</f>
        <v>0.49868665672025458</v>
      </c>
      <c r="AF34" s="71">
        <f>IF($D34="","",AB34-VLOOKUP($D34,$B$4:$BS$990,27,FALSE))</f>
        <v>0.55514815456010425</v>
      </c>
      <c r="AG34" s="92">
        <f>IF($D34="","",AC34-VLOOKUP($D34,$B$4:$BS$990,28,FALSE))</f>
        <v>-5.646149783984955E-2</v>
      </c>
      <c r="AH34" s="89">
        <f>IF($D34="","",AD34-VLOOKUP($D34,$B$4:$BS$990,29,FALSE))</f>
        <v>0.32867581224321807</v>
      </c>
      <c r="AI34" s="95">
        <f t="shared" si="30"/>
        <v>2.6716097244435577</v>
      </c>
      <c r="AJ34" s="35">
        <f t="shared" si="30"/>
        <v>0.87669589177421126</v>
      </c>
      <c r="AK34" s="138">
        <f>IF((ISERROR((Coeff!AB34+TestInfoPage!$B$6)/(Coeff!AA34+TestInfoPage!$B$5))),"",((Coeff!AB34+TestInfoPage!$B$6)/(Coeff!AA34+TestInfoPage!$B$5)))</f>
        <v>0.87634545921328411</v>
      </c>
      <c r="AL34" s="135">
        <f>IF($D34="","",AI34-VLOOKUP($D34,$B$4:$BS$990,34,FALSE))</f>
        <v>0.53536997248116958</v>
      </c>
      <c r="AM34" s="72">
        <f>IF($D34="","",AJ34-VLOOKUP($D34,$B$4:$BS$990,35,FALSE))</f>
        <v>5.854055516702994E-2</v>
      </c>
      <c r="AN34" s="115">
        <f>IF($D34="","",AK34-VLOOKUP($D34,$B$4:$BS$990,36,FALSE))</f>
        <v>5.9539142459067551E-2</v>
      </c>
      <c r="AO34" s="134">
        <f t="shared" si="2"/>
        <v>3.393606882912336E-2</v>
      </c>
      <c r="AP34" s="44">
        <f t="shared" si="30"/>
        <v>4.1269419657315856E-2</v>
      </c>
      <c r="AQ34" s="8">
        <f t="shared" si="30"/>
        <v>2.4586208860630985E-2</v>
      </c>
      <c r="AR34" s="11" t="str">
        <f t="shared" si="30"/>
        <v/>
      </c>
      <c r="AS34" s="11">
        <f t="shared" si="30"/>
        <v>3.5952577969423236E-2</v>
      </c>
      <c r="AT34" s="56" t="str">
        <f>IF(ISERR(AP34-VLOOKUP($D34,$B$4:$BS$990,41,FALSE)),"",(AP34-VLOOKUP($D34,$B$4:$BS$990,41,FALSE)))</f>
        <v/>
      </c>
      <c r="AU34" s="56">
        <f>IF(ISERR(AQ34-VLOOKUP($D34,$B$4:$BS$990,42,FALSE)),"",(AQ34-VLOOKUP($D34,$B$4:$BS$990,42,FALSE)))</f>
        <v>1.6172964511155095E-2</v>
      </c>
      <c r="AV34" s="74" t="str">
        <f>IF(ISERR(AR34-VLOOKUP($D34,$B$4:$BS$990,43,FALSE)),"",AR34-VLOOKUP($D34,$B$4:$BS$990,43,FALSE))</f>
        <v/>
      </c>
      <c r="AW34" s="74">
        <f>IF(ISERR(AS34-VLOOKUP($D34,$B$4:$BS$990,44,FALSE)),"",AS34-VLOOKUP($D34,$B$4:$BS$990,44,FALSE))</f>
        <v>9.144941028459988E-3</v>
      </c>
      <c r="AX34" s="82">
        <f t="shared" ref="AX34:AY34" si="31">IF(ISERR(AVERAGE(AX35:AX38)),"",AVERAGE(AX35:AX38))</f>
        <v>3.2843206616320383E-2</v>
      </c>
      <c r="AY34" s="11" t="str">
        <f t="shared" si="31"/>
        <v/>
      </c>
      <c r="AZ34" s="89">
        <f>IF(ISERR(AX34-VLOOKUP($D34,$B$4:$BS$990,49,FALSE)),"",(AX34-VLOOKUP($D34,$B$4:$BS$990,49,FALSE)))</f>
        <v>1.9571134191575988E-2</v>
      </c>
      <c r="BA34" s="89" t="str">
        <f>IF(ISERR(AY34-VLOOKUP($D34,$B$4:$BS$990,50,FALSE)),"",(AY34-VLOOKUP($D34,$B$4:$BS$990,50,FALSE)))</f>
        <v/>
      </c>
      <c r="BB34" s="82">
        <f t="shared" ref="BB34:BS34" si="32">IF(ISERR(AVERAGE(BB35:BB38)),"",AVERAGE(BB35:BB38))</f>
        <v>-8.9262914397579496E-2</v>
      </c>
      <c r="BC34" s="8">
        <f t="shared" si="32"/>
        <v>-9.5024379735813111E-2</v>
      </c>
      <c r="BD34" s="8">
        <f t="shared" si="32"/>
        <v>-9.0886549068872502E-2</v>
      </c>
      <c r="BE34" s="8">
        <f t="shared" si="32"/>
        <v>-8.9747830661088226E-2</v>
      </c>
      <c r="BF34" s="8">
        <f t="shared" si="32"/>
        <v>-8.3649629125342143E-2</v>
      </c>
      <c r="BG34" s="8">
        <f t="shared" si="32"/>
        <v>-8.3765634224801669E-2</v>
      </c>
      <c r="BH34" s="8">
        <f t="shared" si="32"/>
        <v>-8.9700410191134727E-2</v>
      </c>
      <c r="BI34" s="8">
        <f t="shared" si="32"/>
        <v>-8.7002818855663105E-2</v>
      </c>
      <c r="BJ34" s="8">
        <f t="shared" si="32"/>
        <v>-8.5484603346453636E-2</v>
      </c>
      <c r="BK34" s="8">
        <f t="shared" si="32"/>
        <v>-8.230412256025188E-2</v>
      </c>
      <c r="BL34" s="8">
        <f t="shared" si="32"/>
        <v>-8.2891789245143691E-2</v>
      </c>
      <c r="BM34" s="8">
        <f t="shared" si="32"/>
        <v>-7.9912697134340294E-2</v>
      </c>
      <c r="BN34" s="8">
        <f t="shared" si="32"/>
        <v>-8.0786849908856595E-2</v>
      </c>
      <c r="BO34" s="8">
        <f t="shared" si="32"/>
        <v>-8.3578495004934722E-2</v>
      </c>
      <c r="BP34" s="8">
        <f t="shared" si="32"/>
        <v>-9.147702979796013E-2</v>
      </c>
      <c r="BQ34" s="8">
        <f t="shared" si="32"/>
        <v>-8.6453609313974375E-2</v>
      </c>
      <c r="BR34" s="8">
        <f t="shared" si="32"/>
        <v>-7.8982255166679616E-2</v>
      </c>
      <c r="BS34" s="103">
        <f t="shared" si="32"/>
        <v>-8.2737809878214927E-2</v>
      </c>
      <c r="BT34" s="106">
        <f>IF($D34="","",BB34-VLOOKUP($D34,$B$4:$BS$990,53,FALSE))</f>
        <v>-9.9826785791418959E-3</v>
      </c>
      <c r="BU34" s="56">
        <f>IF($D34="","",BC34-VLOOKUP($D34,$B$4:$BS$990,54,FALSE))</f>
        <v>-1.4647018903425471E-2</v>
      </c>
      <c r="BV34" s="56">
        <f>IF($D34="","",BD34-VLOOKUP($D34,$B$4:$BS$990,55,FALSE))</f>
        <v>-1.3933599981116596E-2</v>
      </c>
      <c r="BW34" s="56">
        <f>IF($D34="","",BE34-VLOOKUP($D34,$B$4:$BS$990,56,FALSE))</f>
        <v>-9.1458757225010429E-3</v>
      </c>
      <c r="BX34" s="56">
        <f>IF($D34="","",BF34-VLOOKUP($D34,$B$4:$BS$990,57,FALSE))</f>
        <v>-4.5092540591380598E-3</v>
      </c>
      <c r="BY34" s="56">
        <f>IF($D34="","",BG34-VLOOKUP($D34,$B$4:$BS$990,58,FALSE))</f>
        <v>-8.0476675340074855E-3</v>
      </c>
      <c r="BZ34" s="56">
        <f>IF($D34="","",BH34-VLOOKUP($D34,$B$4:$BS$990,59,FALSE))</f>
        <v>-9.9345856419265632E-3</v>
      </c>
      <c r="CA34" s="56">
        <f>IF($D34="","",BI34-VLOOKUP($D34,$B$4:$BS$990,60,FALSE))</f>
        <v>-5.7842418826007658E-3</v>
      </c>
      <c r="CB34" s="56">
        <f>IF($D34="","",BJ34-VLOOKUP($D34,$B$4:$BS$990,61,FALSE))</f>
        <v>-2.2485794279206717E-3</v>
      </c>
      <c r="CC34" s="56">
        <f>IF($D34="","",BK34-VLOOKUP($D34,$B$4:$BS$990,62,FALSE))</f>
        <v>-2.8219562221791089E-3</v>
      </c>
      <c r="CD34" s="56">
        <f>IF($D34="","",BL34-VLOOKUP($D34,$B$4:$BS$990,63,FALSE))</f>
        <v>-2.6789015047372494E-3</v>
      </c>
      <c r="CE34" s="56">
        <f>IF($D34="","",BM34-VLOOKUP($D34,$B$4:$BS$990,64,FALSE))</f>
        <v>5.2962984740193009E-4</v>
      </c>
      <c r="CF34" s="56">
        <f>IF($D34="","",BN34-VLOOKUP($D34,$B$4:$BS$990,65,FALSE))</f>
        <v>-9.5550840039287932E-4</v>
      </c>
      <c r="CG34" s="56">
        <f>IF($D34="","",BO34-VLOOKUP($D34,$B$4:$BS$990,66,FALSE))</f>
        <v>-1.4013882903868291E-5</v>
      </c>
      <c r="CH34" s="56">
        <f>IF($D34="","",BP34-VLOOKUP($D34,$B$4:$BS$990,67,FALSE))</f>
        <v>-8.3610830226272803E-3</v>
      </c>
      <c r="CI34" s="56">
        <f>IF($D34="","",BQ34-VLOOKUP($D34,$B$4:$BS$990,68,FALSE))</f>
        <v>-9.4023229204377445E-3</v>
      </c>
      <c r="CJ34" s="56">
        <f>IF($D34="","",BR34-VLOOKUP($D34,$B$4:$BS$990,69,FALSE))</f>
        <v>-2.4131655877846353E-3</v>
      </c>
      <c r="CK34" s="78">
        <f>IF($D34="","",BS34-VLOOKUP($D34,$B$4:$BS$990,70,FALSE))</f>
        <v>-2.1509984526026316E-2</v>
      </c>
      <c r="CL34" s="1"/>
      <c r="DI34" s="3"/>
      <c r="DJ34" s="3"/>
      <c r="DK34" s="3"/>
      <c r="DL34" s="3"/>
      <c r="DM34" s="3"/>
      <c r="DN34" s="3"/>
      <c r="DO34" s="3"/>
      <c r="DP34" s="3"/>
      <c r="DQ34" s="3"/>
      <c r="DR34" s="3"/>
      <c r="DS34" s="3"/>
      <c r="DT34" s="3"/>
      <c r="DU34" s="3"/>
      <c r="DV34" s="3"/>
      <c r="DW34" s="3"/>
      <c r="DX34" s="3"/>
      <c r="DY34" s="3"/>
      <c r="DZ34" s="3"/>
      <c r="EA34" s="3"/>
      <c r="EB34" s="3"/>
      <c r="EC34" s="3"/>
      <c r="ED34" s="3"/>
      <c r="EE34" s="3"/>
      <c r="EF34" s="3"/>
      <c r="EG34" s="3"/>
      <c r="EH34" s="3"/>
      <c r="EI34" s="3"/>
      <c r="EJ34" s="3"/>
      <c r="EK34" s="3"/>
      <c r="EL34" s="3"/>
      <c r="EM34" s="3"/>
      <c r="EN34" s="3"/>
      <c r="EO34" s="3"/>
      <c r="EP34" s="3"/>
      <c r="EQ34" s="3"/>
      <c r="ER34" s="3"/>
      <c r="ES34" s="3"/>
      <c r="ET34" s="3"/>
      <c r="EU34" s="3"/>
      <c r="EV34" s="3"/>
      <c r="EW34" s="3"/>
      <c r="EX34" s="3"/>
      <c r="EY34" s="3"/>
      <c r="EZ34" s="3"/>
      <c r="FA34" s="3"/>
      <c r="FB34" s="3"/>
      <c r="FC34" s="3"/>
      <c r="FD34" s="3"/>
      <c r="FE34" s="3"/>
      <c r="FF34" s="3"/>
      <c r="FG34" s="3"/>
      <c r="FH34" s="3"/>
      <c r="FI34" s="3"/>
      <c r="FJ34" s="3"/>
      <c r="FK34" s="3"/>
      <c r="FL34" s="3"/>
      <c r="FM34" s="3"/>
      <c r="FN34" s="3"/>
      <c r="FO34" s="3"/>
      <c r="FP34" s="3"/>
      <c r="FQ34" s="3"/>
      <c r="FR34" s="3"/>
      <c r="FS34" s="3"/>
      <c r="FT34" s="3"/>
      <c r="FU34" s="3"/>
      <c r="FV34" s="3"/>
      <c r="FW34" s="3"/>
      <c r="FX34" s="3"/>
      <c r="FY34" s="3"/>
      <c r="FZ34" s="3"/>
      <c r="GA34" s="3"/>
      <c r="GB34" s="3"/>
      <c r="GC34" s="3"/>
      <c r="GD34" s="3"/>
      <c r="GE34" s="3"/>
      <c r="GF34" s="3"/>
      <c r="GG34" s="3"/>
      <c r="GH34" s="3"/>
      <c r="GI34" s="3"/>
      <c r="GJ34" s="3"/>
      <c r="GK34" s="3"/>
      <c r="GL34" s="3"/>
      <c r="GM34" s="3"/>
      <c r="GN34" s="3"/>
      <c r="GO34" s="3"/>
      <c r="GP34" s="3"/>
      <c r="GQ34" s="3"/>
      <c r="GR34" s="3"/>
      <c r="GS34" s="3"/>
      <c r="GT34" s="3"/>
      <c r="GU34" s="3"/>
      <c r="GV34" s="3"/>
      <c r="GW34" s="3"/>
      <c r="GX34" s="3"/>
      <c r="GY34" s="3"/>
      <c r="GZ34" s="3"/>
      <c r="HA34" s="3"/>
      <c r="HB34" s="3"/>
      <c r="HC34" s="3"/>
      <c r="HD34" s="3"/>
      <c r="HE34" s="3"/>
      <c r="HF34" s="3"/>
      <c r="HG34" s="3"/>
      <c r="HH34" s="3"/>
      <c r="HI34" s="3"/>
      <c r="HJ34" s="3"/>
      <c r="HK34" s="3"/>
      <c r="HL34" s="3"/>
      <c r="HM34" s="3"/>
      <c r="HN34" s="3"/>
      <c r="HO34" s="3"/>
      <c r="HP34" s="3"/>
    </row>
    <row r="35" spans="1:224" x14ac:dyDescent="0.25">
      <c r="A35" s="158" t="s">
        <v>123</v>
      </c>
      <c r="B35" s="10"/>
      <c r="C35" s="10">
        <v>1</v>
      </c>
      <c r="D35" s="76"/>
      <c r="E35" s="79">
        <v>0.15495034654798895</v>
      </c>
      <c r="F35" s="80"/>
      <c r="G35" s="7">
        <v>0.39047224924391233</v>
      </c>
      <c r="H35" s="7">
        <v>0.34472294017395272</v>
      </c>
      <c r="I35" s="7">
        <v>4.5749309069959609E-2</v>
      </c>
      <c r="J35" s="7">
        <v>2.2877220398702727E-2</v>
      </c>
      <c r="K35" s="7"/>
      <c r="L35" s="7"/>
      <c r="M35" s="7"/>
      <c r="N35" s="7"/>
      <c r="O35" s="79">
        <v>0.14948681555199655</v>
      </c>
      <c r="P35" s="7">
        <v>-1.5488022049352495E-2</v>
      </c>
      <c r="Q35" s="7">
        <v>-3.4866218963104573E-2</v>
      </c>
      <c r="R35" s="7"/>
      <c r="S35" s="7"/>
      <c r="T35" s="80"/>
      <c r="U35" s="6">
        <v>1.7620825621732206</v>
      </c>
      <c r="V35" s="6">
        <v>0.3387114258399635</v>
      </c>
      <c r="W35" s="90">
        <f>IF(ISERR(X35*$AC$1/375),"",(X35*$AC$1/375))</f>
        <v>6.1931716635899324E-2</v>
      </c>
      <c r="X35" s="15">
        <f>IF(ISERR(((($AC$1)^2)*0.002558)*E35*$F$1),"",(((($AC$1)^2)*0.002558)*E35*$F$1))</f>
        <v>0.92897574953848994</v>
      </c>
      <c r="Y35" s="15"/>
      <c r="Z35" s="91"/>
      <c r="AA35" s="90">
        <f t="shared" ref="AA35:AD38" si="33">IF(ISERR(((($AC$1)^2)*0.002558)*G35*$F$1),"",(((($AC$1)^2)*0.002558)*G35*$F$1))</f>
        <v>2.3410031567951433</v>
      </c>
      <c r="AB35" s="15">
        <f t="shared" si="33"/>
        <v>2.066721752261651</v>
      </c>
      <c r="AC35" s="15">
        <f t="shared" si="33"/>
        <v>0.2742814045334922</v>
      </c>
      <c r="AD35" s="15">
        <f t="shared" si="33"/>
        <v>0.13715608542159743</v>
      </c>
      <c r="AE35" s="132"/>
      <c r="AF35" s="132"/>
      <c r="AG35" s="132"/>
      <c r="AH35" s="133"/>
      <c r="AI35" s="96">
        <f>IF(ISERR(AA35/X35),"",(AA35/X35))</f>
        <v>2.5199830651748885</v>
      </c>
      <c r="AJ35" s="36">
        <f>IF(ISERR(AB35/AA35),"",(AB35/AA35))</f>
        <v>0.88283595272507609</v>
      </c>
      <c r="AK35" s="139">
        <f>IF((ISERROR((Coeff!AB35+TestInfoPage!$B$6)/(Coeff!AA35+TestInfoPage!$B$5))),"",((Coeff!AB35+TestInfoPage!$B$6)/(Coeff!AA35+TestInfoPage!$B$5)))</f>
        <v>0.88283595272507609</v>
      </c>
      <c r="AL35" s="96"/>
      <c r="AM35" s="36"/>
      <c r="AN35" s="142"/>
      <c r="AO35" s="79">
        <f t="shared" si="2"/>
        <v>3.4196774894704934E-2</v>
      </c>
      <c r="AP35" s="4">
        <v>3.6608245456044186E-2</v>
      </c>
      <c r="AQ35" s="4">
        <v>3.2669178318150832E-2</v>
      </c>
      <c r="AR35" s="4" t="s">
        <v>119</v>
      </c>
      <c r="AS35" s="4">
        <v>3.3312900909919785E-2</v>
      </c>
      <c r="AT35" s="128"/>
      <c r="AU35" s="128"/>
      <c r="AV35" s="128"/>
      <c r="AW35" s="129"/>
      <c r="AX35" s="81">
        <v>3.9125221998331919E-2</v>
      </c>
      <c r="AY35" s="4" t="s">
        <v>119</v>
      </c>
      <c r="AZ35" s="15"/>
      <c r="BA35" s="91"/>
      <c r="BB35" s="162">
        <v>-8.9857837305479929E-2</v>
      </c>
      <c r="BC35" s="128">
        <v>-9.2240331231944028E-2</v>
      </c>
      <c r="BD35" s="128">
        <v>-8.9832780352911257E-2</v>
      </c>
      <c r="BE35" s="128">
        <v>-9.2256704235648884E-2</v>
      </c>
      <c r="BF35" s="128">
        <v>-8.1445408281999712E-2</v>
      </c>
      <c r="BG35" s="128">
        <v>-8.229174536902728E-2</v>
      </c>
      <c r="BH35" s="128">
        <v>-8.8113044130773061E-2</v>
      </c>
      <c r="BI35" s="128">
        <v>-8.3807349830543554E-2</v>
      </c>
      <c r="BJ35" s="128">
        <v>-8.530005780066012E-2</v>
      </c>
      <c r="BK35" s="128">
        <v>-8.2304814327294043E-2</v>
      </c>
      <c r="BL35" s="128">
        <v>-8.4952640498556914E-2</v>
      </c>
      <c r="BM35" s="128">
        <v>-8.1343368440190203E-2</v>
      </c>
      <c r="BN35" s="128">
        <v>-8.0847852556573549E-2</v>
      </c>
      <c r="BO35" s="128">
        <v>-8.2105782934222327E-2</v>
      </c>
      <c r="BP35" s="128">
        <v>-9.1949592588556672E-2</v>
      </c>
      <c r="BQ35" s="128">
        <v>-8.5301971131807125E-2</v>
      </c>
      <c r="BR35" s="128">
        <v>-7.9586086158667899E-2</v>
      </c>
      <c r="BS35" s="129">
        <v>-8.4893799275073706E-2</v>
      </c>
      <c r="BT35" s="107"/>
      <c r="BU35" s="100"/>
      <c r="BV35" s="100"/>
      <c r="BW35" s="100"/>
      <c r="BX35" s="100"/>
      <c r="BY35" s="100"/>
      <c r="BZ35" s="100"/>
      <c r="CA35" s="100"/>
      <c r="CB35" s="100"/>
      <c r="CC35" s="100"/>
      <c r="CD35" s="100"/>
      <c r="CE35" s="100"/>
      <c r="CF35" s="100"/>
      <c r="CG35" s="100"/>
      <c r="CH35" s="100"/>
      <c r="CI35" s="100"/>
      <c r="CJ35" s="100"/>
      <c r="CK35" s="108"/>
      <c r="CL35" s="1"/>
      <c r="DI35" s="3"/>
      <c r="DJ35" s="3"/>
      <c r="DK35" s="3"/>
      <c r="DL35" s="3"/>
      <c r="DM35" s="3"/>
      <c r="DN35" s="3"/>
      <c r="DO35" s="3"/>
      <c r="DP35" s="3"/>
      <c r="DQ35" s="3"/>
      <c r="DR35" s="3"/>
      <c r="DS35" s="3"/>
      <c r="DT35" s="3"/>
      <c r="DU35" s="3"/>
      <c r="DV35" s="3"/>
      <c r="DW35" s="3"/>
      <c r="DX35" s="3"/>
      <c r="DY35" s="3"/>
      <c r="DZ35" s="3"/>
      <c r="EA35" s="3"/>
      <c r="EB35" s="3"/>
      <c r="EC35" s="3"/>
      <c r="ED35" s="3"/>
      <c r="EE35" s="3"/>
      <c r="EF35" s="3"/>
      <c r="EG35" s="3"/>
      <c r="EH35" s="3"/>
      <c r="EI35" s="3"/>
      <c r="EJ35" s="3"/>
      <c r="EK35" s="3"/>
      <c r="EL35" s="3"/>
      <c r="EM35" s="3"/>
      <c r="EN35" s="3"/>
      <c r="EO35" s="3"/>
      <c r="EP35" s="3"/>
      <c r="EQ35" s="3"/>
      <c r="ER35" s="3"/>
      <c r="ES35" s="3"/>
      <c r="ET35" s="3"/>
      <c r="EU35" s="3"/>
      <c r="EV35" s="3"/>
      <c r="EW35" s="3"/>
      <c r="EX35" s="3"/>
      <c r="EY35" s="3"/>
      <c r="EZ35" s="3"/>
      <c r="FA35" s="3"/>
      <c r="FB35" s="3"/>
      <c r="FC35" s="3"/>
      <c r="FD35" s="3"/>
      <c r="FE35" s="3"/>
      <c r="FF35" s="3"/>
      <c r="FG35" s="3"/>
      <c r="FH35" s="3"/>
      <c r="FI35" s="3"/>
      <c r="FJ35" s="3"/>
      <c r="FK35" s="3"/>
      <c r="FL35" s="3"/>
      <c r="FM35" s="3"/>
      <c r="FN35" s="3"/>
      <c r="FO35" s="3"/>
      <c r="FP35" s="3"/>
      <c r="FQ35" s="3"/>
      <c r="FR35" s="3"/>
      <c r="FS35" s="3"/>
      <c r="FT35" s="3"/>
      <c r="FU35" s="3"/>
      <c r="FV35" s="3"/>
      <c r="FW35" s="3"/>
      <c r="FX35" s="3"/>
      <c r="FY35" s="3"/>
      <c r="FZ35" s="3"/>
      <c r="GA35" s="3"/>
      <c r="GB35" s="3"/>
      <c r="GC35" s="3"/>
      <c r="GD35" s="3"/>
      <c r="GE35" s="3"/>
      <c r="GF35" s="3"/>
      <c r="GG35" s="3"/>
      <c r="GH35" s="3"/>
      <c r="GI35" s="3"/>
      <c r="GJ35" s="3"/>
      <c r="GK35" s="3"/>
      <c r="GL35" s="3"/>
      <c r="GM35" s="3"/>
      <c r="GN35" s="3"/>
      <c r="GO35" s="3"/>
      <c r="GP35" s="3"/>
      <c r="GQ35" s="3"/>
      <c r="GR35" s="3"/>
      <c r="GS35" s="3"/>
      <c r="GT35" s="3"/>
      <c r="GU35" s="3"/>
      <c r="GV35" s="3"/>
      <c r="GW35" s="3"/>
      <c r="GX35" s="3"/>
      <c r="GY35" s="3"/>
      <c r="GZ35" s="3"/>
      <c r="HA35" s="3"/>
      <c r="HB35" s="3"/>
      <c r="HC35" s="3"/>
      <c r="HD35" s="3"/>
      <c r="HE35" s="3"/>
      <c r="HF35" s="3"/>
      <c r="HG35" s="3"/>
      <c r="HH35" s="3"/>
      <c r="HI35" s="3"/>
      <c r="HJ35" s="3"/>
      <c r="HK35" s="3"/>
      <c r="HL35" s="3"/>
      <c r="HM35" s="3"/>
      <c r="HN35" s="3"/>
      <c r="HO35" s="3"/>
      <c r="HP35" s="3"/>
    </row>
    <row r="36" spans="1:224" x14ac:dyDescent="0.25">
      <c r="A36" s="158">
        <v>0</v>
      </c>
      <c r="B36" s="10"/>
      <c r="C36" s="10">
        <v>2</v>
      </c>
      <c r="D36" s="76"/>
      <c r="E36" s="81">
        <v>0.1550493545856465</v>
      </c>
      <c r="F36" s="80"/>
      <c r="G36" s="4">
        <v>0.43774097913729537</v>
      </c>
      <c r="H36" s="4">
        <v>0.38107796177829334</v>
      </c>
      <c r="I36" s="4">
        <v>5.666301735900206E-2</v>
      </c>
      <c r="J36" s="4">
        <v>1.4902385487908896E-2</v>
      </c>
      <c r="K36" s="7"/>
      <c r="L36" s="7"/>
      <c r="M36" s="7"/>
      <c r="N36" s="7"/>
      <c r="O36" s="81">
        <v>0.16220747220964563</v>
      </c>
      <c r="P36" s="4">
        <v>-4.4057011857889232E-2</v>
      </c>
      <c r="Q36" s="4">
        <v>1.2308265366397647E-2</v>
      </c>
      <c r="R36" s="7"/>
      <c r="S36" s="7"/>
      <c r="T36" s="80"/>
      <c r="U36" s="6">
        <v>1.7538707768066626</v>
      </c>
      <c r="V36" s="6">
        <v>0.3371329382083918</v>
      </c>
      <c r="W36" s="90">
        <f>IF(ISERR(X36*$AC$1/375),"",(X36*$AC$1/375))</f>
        <v>6.1971288910950578E-2</v>
      </c>
      <c r="X36" s="15">
        <f>IF(ISERR(((($AC$1)^2)*0.002558)*E36*$F$1),"",(((($AC$1)^2)*0.002558)*E36*$F$1))</f>
        <v>0.92956933366425876</v>
      </c>
      <c r="Y36" s="15"/>
      <c r="Z36" s="91"/>
      <c r="AA36" s="90">
        <f t="shared" si="33"/>
        <v>2.6243939639840659</v>
      </c>
      <c r="AB36" s="15">
        <f t="shared" si="33"/>
        <v>2.284681467723924</v>
      </c>
      <c r="AC36" s="15">
        <f t="shared" si="33"/>
        <v>0.33971249626014199</v>
      </c>
      <c r="AD36" s="15">
        <f t="shared" si="33"/>
        <v>8.9344457995478799E-2</v>
      </c>
      <c r="AE36" s="15"/>
      <c r="AF36" s="15"/>
      <c r="AG36" s="15"/>
      <c r="AH36" s="91"/>
      <c r="AI36" s="96">
        <f>IF(ISERR(AA36/X36),"",(AA36/X36))</f>
        <v>2.8232363837122265</v>
      </c>
      <c r="AJ36" s="97">
        <f>IF(ISERR(AB36/AA36),"",(AB36/AA36))</f>
        <v>0.87055583082334642</v>
      </c>
      <c r="AK36" s="139">
        <f>IF((ISERROR((Coeff!AB36+TestInfoPage!$B$6)/(Coeff!AA36+TestInfoPage!$B$5))),"",((Coeff!AB36+TestInfoPage!$B$6)/(Coeff!AA36+TestInfoPage!$B$5)))</f>
        <v>0.87055583082334642</v>
      </c>
      <c r="AL36" s="96"/>
      <c r="AM36" s="36"/>
      <c r="AN36" s="142"/>
      <c r="AO36" s="79">
        <f t="shared" ref="AO36:AO67" si="34">IF(ISERR(AVERAGE(AP36:AS36)),"",AVERAGE(AP36:AS36))</f>
        <v>3.3675362763541786E-2</v>
      </c>
      <c r="AP36" s="4">
        <v>4.5930593858587526E-2</v>
      </c>
      <c r="AQ36" s="4">
        <v>1.6503239403111138E-2</v>
      </c>
      <c r="AR36" s="4" t="s">
        <v>119</v>
      </c>
      <c r="AS36" s="4">
        <v>3.8592255028926693E-2</v>
      </c>
      <c r="AT36" s="7"/>
      <c r="AU36" s="7"/>
      <c r="AV36" s="7"/>
      <c r="AW36" s="80"/>
      <c r="AX36" s="81">
        <v>2.6561191234308848E-2</v>
      </c>
      <c r="AY36" s="4" t="s">
        <v>119</v>
      </c>
      <c r="AZ36" s="15"/>
      <c r="BA36" s="91"/>
      <c r="BB36" s="79">
        <v>-8.8667991489679063E-2</v>
      </c>
      <c r="BC36" s="7">
        <v>-9.7808428239682194E-2</v>
      </c>
      <c r="BD36" s="7">
        <v>-9.1940317784833733E-2</v>
      </c>
      <c r="BE36" s="7">
        <v>-8.7238957086527569E-2</v>
      </c>
      <c r="BF36" s="7">
        <v>-8.5853849968684573E-2</v>
      </c>
      <c r="BG36" s="7">
        <v>-8.5239523080576057E-2</v>
      </c>
      <c r="BH36" s="7">
        <v>-9.128777625149638E-2</v>
      </c>
      <c r="BI36" s="7">
        <v>-9.0198287880782657E-2</v>
      </c>
      <c r="BJ36" s="7">
        <v>-8.5669148892247138E-2</v>
      </c>
      <c r="BK36" s="7">
        <v>-8.2303430793209717E-2</v>
      </c>
      <c r="BL36" s="7">
        <v>-8.0830937991730467E-2</v>
      </c>
      <c r="BM36" s="7">
        <v>-7.8482025828490384E-2</v>
      </c>
      <c r="BN36" s="7">
        <v>-8.0725847261139655E-2</v>
      </c>
      <c r="BO36" s="7">
        <v>-8.5051207075647103E-2</v>
      </c>
      <c r="BP36" s="7">
        <v>-9.1004467007363601E-2</v>
      </c>
      <c r="BQ36" s="7">
        <v>-8.7605247496141625E-2</v>
      </c>
      <c r="BR36" s="7">
        <v>-7.8378424174691319E-2</v>
      </c>
      <c r="BS36" s="80">
        <v>-8.0581820481356148E-2</v>
      </c>
      <c r="BT36" s="107"/>
      <c r="BU36" s="100"/>
      <c r="BV36" s="100"/>
      <c r="BW36" s="100"/>
      <c r="BX36" s="100"/>
      <c r="BY36" s="100"/>
      <c r="BZ36" s="100"/>
      <c r="CA36" s="100"/>
      <c r="CB36" s="100"/>
      <c r="CC36" s="100"/>
      <c r="CD36" s="100"/>
      <c r="CE36" s="100"/>
      <c r="CF36" s="100"/>
      <c r="CG36" s="100"/>
      <c r="CH36" s="100"/>
      <c r="CI36" s="100"/>
      <c r="CJ36" s="100"/>
      <c r="CK36" s="108"/>
      <c r="CL36" s="1"/>
      <c r="DI36" s="3"/>
      <c r="DJ36" s="3"/>
      <c r="DK36" s="3"/>
      <c r="DL36" s="3"/>
      <c r="DM36" s="3"/>
      <c r="DN36" s="3"/>
      <c r="DO36" s="3"/>
      <c r="DP36" s="3"/>
      <c r="DQ36" s="3"/>
      <c r="DR36" s="3"/>
      <c r="DS36" s="3"/>
      <c r="DT36" s="3"/>
      <c r="DU36" s="3"/>
      <c r="DV36" s="3"/>
      <c r="DW36" s="3"/>
      <c r="DX36" s="3"/>
      <c r="DY36" s="3"/>
      <c r="DZ36" s="3"/>
      <c r="EA36" s="3"/>
      <c r="EB36" s="3"/>
      <c r="EC36" s="3"/>
      <c r="ED36" s="3"/>
      <c r="EE36" s="3"/>
      <c r="EF36" s="3"/>
      <c r="EG36" s="3"/>
      <c r="EH36" s="3"/>
      <c r="EI36" s="3"/>
      <c r="EJ36" s="3"/>
      <c r="EK36" s="3"/>
      <c r="EL36" s="3"/>
      <c r="EM36" s="3"/>
      <c r="EN36" s="3"/>
      <c r="EO36" s="3"/>
      <c r="EP36" s="3"/>
      <c r="EQ36" s="3"/>
      <c r="ER36" s="3"/>
      <c r="ES36" s="3"/>
      <c r="ET36" s="3"/>
      <c r="EU36" s="3"/>
      <c r="EV36" s="3"/>
      <c r="EW36" s="3"/>
      <c r="EX36" s="3"/>
      <c r="EY36" s="3"/>
      <c r="EZ36" s="3"/>
      <c r="FA36" s="3"/>
      <c r="FB36" s="3"/>
      <c r="FC36" s="3"/>
      <c r="FD36" s="3"/>
      <c r="FE36" s="3"/>
      <c r="FF36" s="3"/>
      <c r="FG36" s="3"/>
      <c r="FH36" s="3"/>
      <c r="FI36" s="3"/>
      <c r="FJ36" s="3"/>
      <c r="FK36" s="3"/>
      <c r="FL36" s="3"/>
      <c r="FM36" s="3"/>
      <c r="FN36" s="3"/>
      <c r="FO36" s="3"/>
      <c r="FP36" s="3"/>
      <c r="FQ36" s="3"/>
      <c r="FR36" s="3"/>
      <c r="FS36" s="3"/>
      <c r="FT36" s="3"/>
      <c r="FU36" s="3"/>
      <c r="FV36" s="3"/>
      <c r="FW36" s="3"/>
      <c r="FX36" s="3"/>
      <c r="FY36" s="3"/>
      <c r="FZ36" s="3"/>
      <c r="GA36" s="3"/>
      <c r="GB36" s="3"/>
      <c r="GC36" s="3"/>
      <c r="GD36" s="3"/>
      <c r="GE36" s="3"/>
      <c r="GF36" s="3"/>
      <c r="GG36" s="3"/>
      <c r="GH36" s="3"/>
      <c r="GI36" s="3"/>
      <c r="GJ36" s="3"/>
      <c r="GK36" s="3"/>
      <c r="GL36" s="3"/>
      <c r="GM36" s="3"/>
      <c r="GN36" s="3"/>
      <c r="GO36" s="3"/>
      <c r="GP36" s="3"/>
      <c r="GQ36" s="3"/>
      <c r="GR36" s="3"/>
      <c r="GS36" s="3"/>
      <c r="GT36" s="3"/>
      <c r="GU36" s="3"/>
      <c r="GV36" s="3"/>
      <c r="GW36" s="3"/>
      <c r="GX36" s="3"/>
      <c r="GY36" s="3"/>
      <c r="GZ36" s="3"/>
      <c r="HA36" s="3"/>
      <c r="HB36" s="3"/>
      <c r="HC36" s="3"/>
      <c r="HD36" s="3"/>
      <c r="HE36" s="3"/>
      <c r="HF36" s="3"/>
      <c r="HG36" s="3"/>
      <c r="HH36" s="3"/>
      <c r="HI36" s="3"/>
      <c r="HJ36" s="3"/>
      <c r="HK36" s="3"/>
      <c r="HL36" s="3"/>
      <c r="HM36" s="3"/>
      <c r="HN36" s="3"/>
      <c r="HO36" s="3"/>
      <c r="HP36" s="3"/>
    </row>
    <row r="37" spans="1:224" ht="13.5" customHeight="1" x14ac:dyDescent="0.25">
      <c r="A37" s="158">
        <v>0</v>
      </c>
      <c r="B37" s="10"/>
      <c r="C37" s="10">
        <v>3</v>
      </c>
      <c r="D37" s="76"/>
      <c r="E37" s="81" t="s">
        <v>119</v>
      </c>
      <c r="F37" s="80"/>
      <c r="G37" s="4" t="s">
        <v>119</v>
      </c>
      <c r="H37" s="4" t="s">
        <v>119</v>
      </c>
      <c r="I37" s="4" t="s">
        <v>119</v>
      </c>
      <c r="J37" s="4" t="s">
        <v>119</v>
      </c>
      <c r="K37" s="7"/>
      <c r="L37" s="7"/>
      <c r="M37" s="7"/>
      <c r="N37" s="7"/>
      <c r="O37" s="81" t="s">
        <v>119</v>
      </c>
      <c r="P37" s="4" t="s">
        <v>119</v>
      </c>
      <c r="Q37" s="4" t="s">
        <v>119</v>
      </c>
      <c r="R37" s="7"/>
      <c r="S37" s="7"/>
      <c r="T37" s="80"/>
      <c r="U37" s="6" t="s">
        <v>119</v>
      </c>
      <c r="V37" s="6" t="s">
        <v>119</v>
      </c>
      <c r="W37" s="90" t="str">
        <f>IF(ISERR(X37*$AC$1/375),"",(X37*$AC$1/375))</f>
        <v/>
      </c>
      <c r="X37" s="15" t="str">
        <f>IF(ISERR(((($AC$1)^2)*0.002558)*E37*$F$1),"",(((($AC$1)^2)*0.002558)*E37*$F$1))</f>
        <v/>
      </c>
      <c r="Y37" s="15"/>
      <c r="Z37" s="91"/>
      <c r="AA37" s="90" t="str">
        <f t="shared" si="33"/>
        <v/>
      </c>
      <c r="AB37" s="15" t="str">
        <f t="shared" si="33"/>
        <v/>
      </c>
      <c r="AC37" s="15" t="str">
        <f t="shared" si="33"/>
        <v/>
      </c>
      <c r="AD37" s="15" t="str">
        <f t="shared" si="33"/>
        <v/>
      </c>
      <c r="AE37" s="15"/>
      <c r="AF37" s="15"/>
      <c r="AG37" s="15"/>
      <c r="AH37" s="91"/>
      <c r="AI37" s="96" t="str">
        <f>IF(ISERR(AA37/X37),"",(AA37/X37))</f>
        <v/>
      </c>
      <c r="AJ37" s="97" t="str">
        <f>IF(ISERR(AB37/AA37),"",(AB37/AA37))</f>
        <v/>
      </c>
      <c r="AK37" s="139" t="str">
        <f>IF((ISERROR((Coeff!AB37+TestInfoPage!$B$6)/(Coeff!AA37+TestInfoPage!$B$5))),"",((Coeff!AB37+TestInfoPage!$B$6)/(Coeff!AA37+TestInfoPage!$B$5)))</f>
        <v/>
      </c>
      <c r="AL37" s="96"/>
      <c r="AM37" s="36"/>
      <c r="AN37" s="142"/>
      <c r="AO37" s="79" t="str">
        <f t="shared" si="34"/>
        <v/>
      </c>
      <c r="AP37" s="4" t="s">
        <v>119</v>
      </c>
      <c r="AQ37" s="4" t="s">
        <v>119</v>
      </c>
      <c r="AR37" s="4" t="s">
        <v>119</v>
      </c>
      <c r="AS37" s="4" t="s">
        <v>119</v>
      </c>
      <c r="AT37" s="7"/>
      <c r="AU37" s="7"/>
      <c r="AV37" s="7"/>
      <c r="AW37" s="80"/>
      <c r="AX37" s="81" t="s">
        <v>119</v>
      </c>
      <c r="AY37" s="4" t="s">
        <v>119</v>
      </c>
      <c r="AZ37" s="15"/>
      <c r="BA37" s="91"/>
      <c r="BB37" s="79" t="s">
        <v>119</v>
      </c>
      <c r="BC37" s="7" t="s">
        <v>119</v>
      </c>
      <c r="BD37" s="7" t="s">
        <v>119</v>
      </c>
      <c r="BE37" s="7" t="s">
        <v>119</v>
      </c>
      <c r="BF37" s="7" t="s">
        <v>119</v>
      </c>
      <c r="BG37" s="7" t="s">
        <v>119</v>
      </c>
      <c r="BH37" s="7" t="s">
        <v>119</v>
      </c>
      <c r="BI37" s="7" t="s">
        <v>119</v>
      </c>
      <c r="BJ37" s="7" t="s">
        <v>119</v>
      </c>
      <c r="BK37" s="7" t="s">
        <v>119</v>
      </c>
      <c r="BL37" s="7" t="s">
        <v>119</v>
      </c>
      <c r="BM37" s="7" t="s">
        <v>119</v>
      </c>
      <c r="BN37" s="7" t="s">
        <v>119</v>
      </c>
      <c r="BO37" s="7" t="s">
        <v>119</v>
      </c>
      <c r="BP37" s="7" t="s">
        <v>119</v>
      </c>
      <c r="BQ37" s="7" t="s">
        <v>119</v>
      </c>
      <c r="BR37" s="7" t="s">
        <v>119</v>
      </c>
      <c r="BS37" s="80" t="s">
        <v>119</v>
      </c>
      <c r="BT37" s="107"/>
      <c r="BU37" s="100"/>
      <c r="BV37" s="100"/>
      <c r="BW37" s="100"/>
      <c r="BX37" s="100"/>
      <c r="BY37" s="100"/>
      <c r="BZ37" s="100"/>
      <c r="CA37" s="100"/>
      <c r="CB37" s="100"/>
      <c r="CC37" s="100"/>
      <c r="CD37" s="100"/>
      <c r="CE37" s="100"/>
      <c r="CF37" s="100"/>
      <c r="CG37" s="100"/>
      <c r="CH37" s="100"/>
      <c r="CI37" s="100"/>
      <c r="CJ37" s="100"/>
      <c r="CK37" s="108"/>
      <c r="CL37" s="1"/>
      <c r="DI37" s="3"/>
      <c r="DJ37" s="3"/>
      <c r="DK37" s="3"/>
      <c r="DL37" s="3"/>
      <c r="DM37" s="3"/>
      <c r="DN37" s="3"/>
      <c r="DO37" s="3"/>
      <c r="DP37" s="3"/>
      <c r="DQ37" s="3"/>
      <c r="DR37" s="3"/>
      <c r="DS37" s="3"/>
      <c r="DT37" s="3"/>
      <c r="DU37" s="3"/>
      <c r="DV37" s="3"/>
      <c r="DW37" s="3"/>
      <c r="DX37" s="3"/>
      <c r="DY37" s="3"/>
      <c r="DZ37" s="3"/>
      <c r="EA37" s="3"/>
      <c r="EB37" s="3"/>
      <c r="EC37" s="3"/>
      <c r="ED37" s="3"/>
      <c r="EE37" s="3"/>
      <c r="EF37" s="3"/>
      <c r="EG37" s="3"/>
      <c r="EH37" s="3"/>
      <c r="EI37" s="3"/>
      <c r="EJ37" s="3"/>
      <c r="EK37" s="3"/>
      <c r="EL37" s="3"/>
      <c r="EM37" s="3"/>
      <c r="EN37" s="3"/>
      <c r="EO37" s="3"/>
      <c r="EP37" s="3"/>
      <c r="EQ37" s="3"/>
      <c r="ER37" s="3"/>
      <c r="ES37" s="3"/>
      <c r="ET37" s="3"/>
      <c r="EU37" s="3"/>
      <c r="EV37" s="3"/>
      <c r="EW37" s="3"/>
      <c r="EX37" s="3"/>
      <c r="EY37" s="3"/>
      <c r="EZ37" s="3"/>
      <c r="FA37" s="3"/>
      <c r="FB37" s="3"/>
      <c r="FC37" s="3"/>
      <c r="FD37" s="3"/>
      <c r="FE37" s="3"/>
      <c r="FF37" s="3"/>
      <c r="FG37" s="3"/>
      <c r="FH37" s="3"/>
      <c r="FI37" s="3"/>
      <c r="FJ37" s="3"/>
      <c r="FK37" s="3"/>
      <c r="FL37" s="3"/>
      <c r="FM37" s="3"/>
      <c r="FN37" s="3"/>
      <c r="FO37" s="3"/>
      <c r="FP37" s="3"/>
      <c r="FQ37" s="3"/>
      <c r="FR37" s="3"/>
      <c r="FS37" s="3"/>
      <c r="FT37" s="3"/>
      <c r="FU37" s="3"/>
      <c r="FV37" s="3"/>
      <c r="FW37" s="3"/>
      <c r="FX37" s="3"/>
      <c r="FY37" s="3"/>
      <c r="FZ37" s="3"/>
      <c r="GA37" s="3"/>
      <c r="GB37" s="3"/>
      <c r="GC37" s="3"/>
      <c r="GD37" s="3"/>
      <c r="GE37" s="3"/>
      <c r="GF37" s="3"/>
      <c r="GG37" s="3"/>
      <c r="GH37" s="3"/>
      <c r="GI37" s="3"/>
      <c r="GJ37" s="3"/>
      <c r="GK37" s="3"/>
      <c r="GL37" s="3"/>
      <c r="GM37" s="3"/>
      <c r="GN37" s="3"/>
      <c r="GO37" s="3"/>
      <c r="GP37" s="3"/>
      <c r="GQ37" s="3"/>
      <c r="GR37" s="3"/>
      <c r="GS37" s="3"/>
      <c r="GT37" s="3"/>
      <c r="GU37" s="3"/>
      <c r="GV37" s="3"/>
      <c r="GW37" s="3"/>
      <c r="GX37" s="3"/>
      <c r="GY37" s="3"/>
      <c r="GZ37" s="3"/>
      <c r="HA37" s="3"/>
      <c r="HB37" s="3"/>
      <c r="HC37" s="3"/>
      <c r="HD37" s="3"/>
      <c r="HE37" s="3"/>
      <c r="HF37" s="3"/>
      <c r="HG37" s="3"/>
      <c r="HH37" s="3"/>
      <c r="HI37" s="3"/>
      <c r="HJ37" s="3"/>
      <c r="HK37" s="3"/>
      <c r="HL37" s="3"/>
      <c r="HM37" s="3"/>
      <c r="HN37" s="3"/>
      <c r="HO37" s="3"/>
      <c r="HP37" s="3"/>
    </row>
    <row r="38" spans="1:224" ht="13.5" customHeight="1" thickBot="1" x14ac:dyDescent="0.3">
      <c r="A38" s="158">
        <v>0</v>
      </c>
      <c r="B38" s="10"/>
      <c r="C38" s="10">
        <v>4</v>
      </c>
      <c r="D38" s="76"/>
      <c r="E38" s="81" t="s">
        <v>119</v>
      </c>
      <c r="F38" s="80"/>
      <c r="G38" s="4" t="s">
        <v>119</v>
      </c>
      <c r="H38" s="4" t="s">
        <v>119</v>
      </c>
      <c r="I38" s="4" t="s">
        <v>119</v>
      </c>
      <c r="J38" s="4" t="s">
        <v>119</v>
      </c>
      <c r="K38" s="7"/>
      <c r="L38" s="7"/>
      <c r="M38" s="7"/>
      <c r="N38" s="7"/>
      <c r="O38" s="81" t="s">
        <v>119</v>
      </c>
      <c r="P38" s="4" t="s">
        <v>119</v>
      </c>
      <c r="Q38" s="4" t="s">
        <v>119</v>
      </c>
      <c r="R38" s="7"/>
      <c r="S38" s="7"/>
      <c r="T38" s="84"/>
      <c r="U38" s="6" t="s">
        <v>119</v>
      </c>
      <c r="V38" s="6" t="s">
        <v>119</v>
      </c>
      <c r="W38" s="90" t="str">
        <f>IF(ISERR(X38*$AC$1/375),"",(X38*$AC$1/375))</f>
        <v/>
      </c>
      <c r="X38" s="15" t="str">
        <f>IF(ISERR(((($AC$1)^2)*0.002558)*E38*$F$1),"",(((($AC$1)^2)*0.002558)*E38*$F$1))</f>
        <v/>
      </c>
      <c r="Y38" s="15"/>
      <c r="Z38" s="91"/>
      <c r="AA38" s="90" t="str">
        <f t="shared" si="33"/>
        <v/>
      </c>
      <c r="AB38" s="15" t="str">
        <f t="shared" si="33"/>
        <v/>
      </c>
      <c r="AC38" s="15" t="str">
        <f t="shared" si="33"/>
        <v/>
      </c>
      <c r="AD38" s="15" t="str">
        <f t="shared" si="33"/>
        <v/>
      </c>
      <c r="AE38" s="15"/>
      <c r="AF38" s="15"/>
      <c r="AG38" s="15"/>
      <c r="AH38" s="91"/>
      <c r="AI38" s="96" t="str">
        <f>IF(ISERR(AA38/X38),"",(AA38/X38))</f>
        <v/>
      </c>
      <c r="AJ38" s="97" t="str">
        <f>IF(ISERR(AB38/AA38),"",(AB38/AA38))</f>
        <v/>
      </c>
      <c r="AK38" s="139" t="str">
        <f>IF((ISERROR((Coeff!AB38+TestInfoPage!$B$6)/(Coeff!AA38+TestInfoPage!$B$5))),"",((Coeff!AB38+TestInfoPage!$B$6)/(Coeff!AA38+TestInfoPage!$B$5)))</f>
        <v/>
      </c>
      <c r="AL38" s="96"/>
      <c r="AM38" s="36"/>
      <c r="AN38" s="142"/>
      <c r="AO38" s="79" t="str">
        <f t="shared" si="34"/>
        <v/>
      </c>
      <c r="AP38" s="4" t="s">
        <v>119</v>
      </c>
      <c r="AQ38" s="4" t="s">
        <v>119</v>
      </c>
      <c r="AR38" s="4" t="s">
        <v>119</v>
      </c>
      <c r="AS38" s="4" t="s">
        <v>119</v>
      </c>
      <c r="AT38" s="7"/>
      <c r="AU38" s="7"/>
      <c r="AV38" s="7"/>
      <c r="AW38" s="80"/>
      <c r="AX38" s="81" t="s">
        <v>119</v>
      </c>
      <c r="AY38" s="4" t="s">
        <v>119</v>
      </c>
      <c r="AZ38" s="15"/>
      <c r="BA38" s="91"/>
      <c r="BB38" s="163" t="s">
        <v>119</v>
      </c>
      <c r="BC38" s="157" t="s">
        <v>119</v>
      </c>
      <c r="BD38" s="157" t="s">
        <v>119</v>
      </c>
      <c r="BE38" s="157" t="s">
        <v>119</v>
      </c>
      <c r="BF38" s="157" t="s">
        <v>119</v>
      </c>
      <c r="BG38" s="157" t="s">
        <v>119</v>
      </c>
      <c r="BH38" s="157" t="s">
        <v>119</v>
      </c>
      <c r="BI38" s="157" t="s">
        <v>119</v>
      </c>
      <c r="BJ38" s="157" t="s">
        <v>119</v>
      </c>
      <c r="BK38" s="157" t="s">
        <v>119</v>
      </c>
      <c r="BL38" s="157" t="s">
        <v>119</v>
      </c>
      <c r="BM38" s="157" t="s">
        <v>119</v>
      </c>
      <c r="BN38" s="157" t="s">
        <v>119</v>
      </c>
      <c r="BO38" s="157" t="s">
        <v>119</v>
      </c>
      <c r="BP38" s="157" t="s">
        <v>119</v>
      </c>
      <c r="BQ38" s="157" t="s">
        <v>119</v>
      </c>
      <c r="BR38" s="157" t="s">
        <v>119</v>
      </c>
      <c r="BS38" s="84" t="s">
        <v>119</v>
      </c>
      <c r="BT38" s="107"/>
      <c r="BU38" s="100"/>
      <c r="BV38" s="100"/>
      <c r="BW38" s="100"/>
      <c r="BX38" s="100"/>
      <c r="BY38" s="100"/>
      <c r="BZ38" s="100"/>
      <c r="CA38" s="100"/>
      <c r="CB38" s="100"/>
      <c r="CC38" s="100"/>
      <c r="CD38" s="100"/>
      <c r="CE38" s="100"/>
      <c r="CF38" s="100"/>
      <c r="CG38" s="100"/>
      <c r="CH38" s="100"/>
      <c r="CI38" s="100"/>
      <c r="CJ38" s="100"/>
      <c r="CK38" s="108"/>
      <c r="CL38" s="1"/>
    </row>
    <row r="39" spans="1:224" ht="14.25" thickBot="1" x14ac:dyDescent="0.3">
      <c r="A39" s="158" t="s">
        <v>130</v>
      </c>
      <c r="B39" s="9">
        <f>B34+1</f>
        <v>8</v>
      </c>
      <c r="C39" s="66" t="s">
        <v>56</v>
      </c>
      <c r="D39" s="75">
        <v>3</v>
      </c>
      <c r="E39" s="82">
        <f>IF(ISERR(AVERAGE(E40:E43)),"",AVERAGE(E40:E43))</f>
        <v>0.15788741140229123</v>
      </c>
      <c r="F39" s="78">
        <f>IF($D39="","",E39-VLOOKUP($D39,$B$4:$BS$990,4,FALSE))</f>
        <v>2.9794430849730547E-3</v>
      </c>
      <c r="G39" s="44">
        <f t="shared" ref="G39:Q39" si="35">IF(ISERR(AVERAGE(G40:G43)),"",AVERAGE(G40:G43))</f>
        <v>0.40242718492773866</v>
      </c>
      <c r="H39" s="8">
        <f t="shared" si="35"/>
        <v>0.46840510839790106</v>
      </c>
      <c r="I39" s="8">
        <f t="shared" si="35"/>
        <v>-6.5977923470162445E-2</v>
      </c>
      <c r="J39" s="44">
        <f>IF(ISERR(AVERAGE(J40:J43)),"",AVERAGE(J40:J43))</f>
        <v>5.7488657731981207E-3</v>
      </c>
      <c r="K39" s="56">
        <f>IF($D39="","",G39-VLOOKUP($D39,$B$4:$BS$990,6,FALSE))</f>
        <v>7.1499997450964081E-2</v>
      </c>
      <c r="L39" s="56">
        <f>IF($D39="","",H39-VLOOKUP($D39,$B$4:$BS$990,7,FALSE))</f>
        <v>0.19810169128116473</v>
      </c>
      <c r="M39" s="56">
        <f>IF($D39="","",I39-VLOOKUP($D39,$B$4:$BS$990,8,FALSE))</f>
        <v>-0.12660169383020065</v>
      </c>
      <c r="N39" s="74">
        <f>IF($D39="","",J39-VLOOKUP($D39,$B$4:$BS$990,9,FALSE))</f>
        <v>4.1681194660921649E-2</v>
      </c>
      <c r="O39" s="82">
        <f t="shared" si="35"/>
        <v>0.26719151593403179</v>
      </c>
      <c r="P39" s="8">
        <f t="shared" si="35"/>
        <v>-1.8032186231456696E-2</v>
      </c>
      <c r="Q39" s="8">
        <f t="shared" si="35"/>
        <v>1.6274238861930485E-2</v>
      </c>
      <c r="R39" s="56">
        <f>IF($D39="","",O39-VLOOKUP($D39,$B$4:$BS$990,14,FALSE))</f>
        <v>0.16235169255568271</v>
      </c>
      <c r="S39" s="56">
        <f>IF($D39="","",P39-VLOOKUP($D39,$B$4:$BS$990,15,FALSE))</f>
        <v>-4.5685330175384592E-2</v>
      </c>
      <c r="T39" s="78">
        <f>IF($D39="","",Q39-VLOOKUP($D39,$B$4:$BS$990,16,FALSE))</f>
        <v>9.1137908047672245E-2</v>
      </c>
      <c r="U39" s="44">
        <f t="shared" ref="U39:AS39" si="36">IF(ISERR(AVERAGE(U40:U43)),"",AVERAGE(U40:U43))</f>
        <v>1.7625920232532062</v>
      </c>
      <c r="V39" s="11">
        <f t="shared" si="36"/>
        <v>0.33880935558089409</v>
      </c>
      <c r="W39" s="88">
        <f t="shared" si="36"/>
        <v>6.3105624744853261E-2</v>
      </c>
      <c r="X39" s="32">
        <f t="shared" si="36"/>
        <v>0.94658437117279903</v>
      </c>
      <c r="Y39" s="71">
        <f>IF($D39="","",W39-VLOOKUP($D39,$B$4:$BS$990,22,FALSE))</f>
        <v>1.1908461580251578E-3</v>
      </c>
      <c r="Z39" s="89">
        <f>IF($D39="","",X39-VLOOKUP($D39,$B$4:$BS$990,23,FALSE))</f>
        <v>1.7862692370377409E-2</v>
      </c>
      <c r="AA39" s="88">
        <f t="shared" si="36"/>
        <v>2.4126767321370828</v>
      </c>
      <c r="AB39" s="31">
        <f t="shared" si="36"/>
        <v>2.8082350014417909</v>
      </c>
      <c r="AC39" s="31">
        <f t="shared" si="36"/>
        <v>-0.39555826930470828</v>
      </c>
      <c r="AD39" s="32">
        <f>IF(ISERR(AVERAGE(AD40:AD43)),"",AVERAGE(AD40:AD43))</f>
        <v>3.4466246830876859E-2</v>
      </c>
      <c r="AE39" s="71">
        <f>IF($D39="","",AA39-VLOOKUP($D39,$B$4:$BS$990,26,FALSE))</f>
        <v>0.42866482846773279</v>
      </c>
      <c r="AF39" s="71">
        <f>IF($D39="","",AB39-VLOOKUP($D39,$B$4:$BS$990,27,FALSE))</f>
        <v>1.1876815460091077</v>
      </c>
      <c r="AG39" s="92">
        <f>IF($D39="","",AC39-VLOOKUP($D39,$B$4:$BS$990,28,FALSE))</f>
        <v>-0.7590167175413749</v>
      </c>
      <c r="AH39" s="89">
        <f>IF($D39="","",AD39-VLOOKUP($D39,$B$4:$BS$990,29,FALSE))</f>
        <v>0.24989178736555678</v>
      </c>
      <c r="AI39" s="95">
        <f t="shared" si="36"/>
        <v>2.5491229043978652</v>
      </c>
      <c r="AJ39" s="35">
        <f t="shared" si="36"/>
        <v>1.1650581929645514</v>
      </c>
      <c r="AK39" s="138">
        <f>IF((ISERROR((Coeff!AB39+TestInfoPage!$B$6)/(Coeff!AA39+TestInfoPage!$B$5))),"",((Coeff!AB39+TestInfoPage!$B$6)/(Coeff!AA39+TestInfoPage!$B$5)))</f>
        <v>1.1639499664566888</v>
      </c>
      <c r="AL39" s="135">
        <f>IF($D39="","",AI39-VLOOKUP($D39,$B$4:$BS$990,34,FALSE))</f>
        <v>0.41288315243547702</v>
      </c>
      <c r="AM39" s="72">
        <f>IF($D39="","",AJ39-VLOOKUP($D39,$B$4:$BS$990,35,FALSE))</f>
        <v>0.34690285635737006</v>
      </c>
      <c r="AN39" s="115">
        <f>IF($D39="","",AK39-VLOOKUP($D39,$B$4:$BS$990,36,FALSE))</f>
        <v>0.34714364970247225</v>
      </c>
      <c r="AO39" s="134">
        <f t="shared" si="34"/>
        <v>2.1502427860570422E-2</v>
      </c>
      <c r="AP39" s="44" t="str">
        <f t="shared" si="36"/>
        <v/>
      </c>
      <c r="AQ39" s="8">
        <f t="shared" si="36"/>
        <v>2.1502427860570422E-2</v>
      </c>
      <c r="AR39" s="11" t="str">
        <f t="shared" si="36"/>
        <v/>
      </c>
      <c r="AS39" s="11" t="str">
        <f t="shared" si="36"/>
        <v/>
      </c>
      <c r="AT39" s="56" t="str">
        <f>IF(ISERR(AP39-VLOOKUP($D39,$B$4:$BS$990,41,FALSE)),"",(AP39-VLOOKUP($D39,$B$4:$BS$990,41,FALSE)))</f>
        <v/>
      </c>
      <c r="AU39" s="56">
        <f>IF(ISERR(AQ39-VLOOKUP($D39,$B$4:$BS$990,42,FALSE)),"",(AQ39-VLOOKUP($D39,$B$4:$BS$990,42,FALSE)))</f>
        <v>1.3089183511094532E-2</v>
      </c>
      <c r="AV39" s="74" t="str">
        <f>IF(ISERR(AR39-VLOOKUP($D39,$B$4:$BS$990,43,FALSE)),"",AR39-VLOOKUP($D39,$B$4:$BS$990,43,FALSE))</f>
        <v/>
      </c>
      <c r="AW39" s="74" t="str">
        <f>IF(ISERR(AS39-VLOOKUP($D39,$B$4:$BS$990,44,FALSE)),"",AS39-VLOOKUP($D39,$B$4:$BS$990,44,FALSE))</f>
        <v/>
      </c>
      <c r="AX39" s="82">
        <f t="shared" ref="AX39:AY39" si="37">IF(ISERR(AVERAGE(AX40:AX43)),"",AVERAGE(AX40:AX43))</f>
        <v>1.96908708476345E-2</v>
      </c>
      <c r="AY39" s="11" t="str">
        <f t="shared" si="37"/>
        <v/>
      </c>
      <c r="AZ39" s="89">
        <f>IF(ISERR(AX39-VLOOKUP($D39,$B$4:$BS$990,49,FALSE)),"",(AX39-VLOOKUP($D39,$B$4:$BS$990,49,FALSE)))</f>
        <v>6.4187984228901065E-3</v>
      </c>
      <c r="BA39" s="89" t="str">
        <f>IF(ISERR(AY39-VLOOKUP($D39,$B$4:$BS$990,50,FALSE)),"",(AY39-VLOOKUP($D39,$B$4:$BS$990,50,FALSE)))</f>
        <v/>
      </c>
      <c r="BB39" s="82">
        <f t="shared" ref="BB39:BS39" si="38">IF(ISERR(AVERAGE(BB40:BB43)),"",AVERAGE(BB40:BB43))</f>
        <v>-9.0295828079138094E-2</v>
      </c>
      <c r="BC39" s="8">
        <f t="shared" si="38"/>
        <v>-9.0007890694758313E-2</v>
      </c>
      <c r="BD39" s="8">
        <f t="shared" si="38"/>
        <v>-8.2259875295702431E-2</v>
      </c>
      <c r="BE39" s="8">
        <f t="shared" si="38"/>
        <v>-8.8647779408429495E-2</v>
      </c>
      <c r="BF39" s="8">
        <f t="shared" si="38"/>
        <v>-9.0047741367484765E-2</v>
      </c>
      <c r="BG39" s="8">
        <f t="shared" si="38"/>
        <v>-8.3378953685728813E-2</v>
      </c>
      <c r="BH39" s="8">
        <f t="shared" si="38"/>
        <v>-8.6381658840048753E-2</v>
      </c>
      <c r="BI39" s="8">
        <f t="shared" si="38"/>
        <v>-8.3495484157677602E-2</v>
      </c>
      <c r="BJ39" s="8">
        <f t="shared" si="38"/>
        <v>-8.5477042553327998E-2</v>
      </c>
      <c r="BK39" s="8">
        <f t="shared" si="38"/>
        <v>-8.347030145671297E-2</v>
      </c>
      <c r="BL39" s="8">
        <f t="shared" si="38"/>
        <v>-8.9226738850968601E-2</v>
      </c>
      <c r="BM39" s="8">
        <f t="shared" si="38"/>
        <v>-8.9857176319992307E-2</v>
      </c>
      <c r="BN39" s="8">
        <f t="shared" si="38"/>
        <v>-8.3077202155672186E-2</v>
      </c>
      <c r="BO39" s="8">
        <f t="shared" si="38"/>
        <v>-8.5206979953213108E-2</v>
      </c>
      <c r="BP39" s="8">
        <f t="shared" si="38"/>
        <v>-9.2078993352602001E-2</v>
      </c>
      <c r="BQ39" s="8">
        <f t="shared" si="38"/>
        <v>-9.0431672940115448E-2</v>
      </c>
      <c r="BR39" s="8">
        <f t="shared" si="38"/>
        <v>-7.8936306396082775E-2</v>
      </c>
      <c r="BS39" s="103">
        <f t="shared" si="38"/>
        <v>-6.570569539755014E-2</v>
      </c>
      <c r="BT39" s="106">
        <f>IF($D39="","",BB39-VLOOKUP($D39,$B$4:$BS$990,53,FALSE))</f>
        <v>-1.1015592260700494E-2</v>
      </c>
      <c r="BU39" s="56">
        <f>IF($D39="","",BC39-VLOOKUP($D39,$B$4:$BS$990,54,FALSE))</f>
        <v>-9.6305298623706737E-3</v>
      </c>
      <c r="BV39" s="56">
        <f>IF($D39="","",BD39-VLOOKUP($D39,$B$4:$BS$990,55,FALSE))</f>
        <v>-5.3069262079465246E-3</v>
      </c>
      <c r="BW39" s="56">
        <f>IF($D39="","",BE39-VLOOKUP($D39,$B$4:$BS$990,56,FALSE))</f>
        <v>-8.0458244698423109E-3</v>
      </c>
      <c r="BX39" s="56">
        <f>IF($D39="","",BF39-VLOOKUP($D39,$B$4:$BS$990,57,FALSE))</f>
        <v>-1.0907366301280683E-2</v>
      </c>
      <c r="BY39" s="56">
        <f>IF($D39="","",BG39-VLOOKUP($D39,$B$4:$BS$990,58,FALSE))</f>
        <v>-7.6609869949346293E-3</v>
      </c>
      <c r="BZ39" s="56">
        <f>IF($D39="","",BH39-VLOOKUP($D39,$B$4:$BS$990,59,FALSE))</f>
        <v>-6.6158342908405887E-3</v>
      </c>
      <c r="CA39" s="56">
        <f>IF($D39="","",BI39-VLOOKUP($D39,$B$4:$BS$990,60,FALSE))</f>
        <v>-2.2769071846152622E-3</v>
      </c>
      <c r="CB39" s="56">
        <f>IF($D39="","",BJ39-VLOOKUP($D39,$B$4:$BS$990,61,FALSE))</f>
        <v>-2.2410186347950334E-3</v>
      </c>
      <c r="CC39" s="56">
        <f>IF($D39="","",BK39-VLOOKUP($D39,$B$4:$BS$990,62,FALSE))</f>
        <v>-3.9881351186401987E-3</v>
      </c>
      <c r="CD39" s="56">
        <f>IF($D39="","",BL39-VLOOKUP($D39,$B$4:$BS$990,63,FALSE))</f>
        <v>-9.0138511105621599E-3</v>
      </c>
      <c r="CE39" s="56">
        <f>IF($D39="","",BM39-VLOOKUP($D39,$B$4:$BS$990,64,FALSE))</f>
        <v>-9.4148493382500836E-3</v>
      </c>
      <c r="CF39" s="56">
        <f>IF($D39="","",BN39-VLOOKUP($D39,$B$4:$BS$990,65,FALSE))</f>
        <v>-3.2458606472084706E-3</v>
      </c>
      <c r="CG39" s="56">
        <f>IF($D39="","",BO39-VLOOKUP($D39,$B$4:$BS$990,66,FALSE))</f>
        <v>-1.6424988311822541E-3</v>
      </c>
      <c r="CH39" s="56">
        <f>IF($D39="","",BP39-VLOOKUP($D39,$B$4:$BS$990,67,FALSE))</f>
        <v>-8.9630465772691514E-3</v>
      </c>
      <c r="CI39" s="56">
        <f>IF($D39="","",BQ39-VLOOKUP($D39,$B$4:$BS$990,68,FALSE))</f>
        <v>-1.3380386546578818E-2</v>
      </c>
      <c r="CJ39" s="56">
        <f>IF($D39="","",BR39-VLOOKUP($D39,$B$4:$BS$990,69,FALSE))</f>
        <v>-2.367216817187795E-3</v>
      </c>
      <c r="CK39" s="78">
        <f>IF($D39="","",BS39-VLOOKUP($D39,$B$4:$BS$990,70,FALSE))</f>
        <v>-4.4778700453615289E-3</v>
      </c>
      <c r="CL39" s="1"/>
      <c r="DI39" s="3"/>
      <c r="DJ39" s="3"/>
      <c r="DK39" s="3"/>
      <c r="DL39" s="3"/>
      <c r="DM39" s="3"/>
      <c r="DN39" s="3"/>
      <c r="DO39" s="3"/>
      <c r="DP39" s="3"/>
      <c r="DQ39" s="3"/>
      <c r="DR39" s="3"/>
      <c r="DS39" s="3"/>
      <c r="DT39" s="3"/>
      <c r="DU39" s="3"/>
      <c r="DV39" s="3"/>
      <c r="DW39" s="3"/>
      <c r="DX39" s="3"/>
      <c r="DY39" s="3"/>
      <c r="DZ39" s="3"/>
      <c r="EA39" s="3"/>
      <c r="EB39" s="3"/>
      <c r="EC39" s="3"/>
      <c r="ED39" s="3"/>
      <c r="EE39" s="3"/>
      <c r="EF39" s="3"/>
      <c r="EG39" s="3"/>
      <c r="EH39" s="3"/>
      <c r="EI39" s="3"/>
      <c r="EJ39" s="3"/>
      <c r="EK39" s="3"/>
      <c r="EL39" s="3"/>
      <c r="EM39" s="3"/>
      <c r="EN39" s="3"/>
      <c r="EO39" s="3"/>
      <c r="EP39" s="3"/>
      <c r="EQ39" s="3"/>
      <c r="ER39" s="3"/>
      <c r="ES39" s="3"/>
      <c r="ET39" s="3"/>
      <c r="EU39" s="3"/>
      <c r="EV39" s="3"/>
      <c r="EW39" s="3"/>
      <c r="EX39" s="3"/>
      <c r="EY39" s="3"/>
      <c r="EZ39" s="3"/>
      <c r="FA39" s="3"/>
      <c r="FB39" s="3"/>
      <c r="FC39" s="3"/>
      <c r="FD39" s="3"/>
      <c r="FE39" s="3"/>
      <c r="FF39" s="3"/>
      <c r="FG39" s="3"/>
      <c r="FH39" s="3"/>
      <c r="FI39" s="3"/>
      <c r="FJ39" s="3"/>
      <c r="FK39" s="3"/>
      <c r="FL39" s="3"/>
      <c r="FM39" s="3"/>
      <c r="FN39" s="3"/>
      <c r="FO39" s="3"/>
      <c r="FP39" s="3"/>
      <c r="FQ39" s="3"/>
      <c r="FR39" s="3"/>
      <c r="FS39" s="3"/>
      <c r="FT39" s="3"/>
      <c r="FU39" s="3"/>
      <c r="FV39" s="3"/>
      <c r="FW39" s="3"/>
      <c r="FX39" s="3"/>
      <c r="FY39" s="3"/>
      <c r="FZ39" s="3"/>
      <c r="GA39" s="3"/>
      <c r="GB39" s="3"/>
      <c r="GC39" s="3"/>
      <c r="GD39" s="3"/>
      <c r="GE39" s="3"/>
      <c r="GF39" s="3"/>
      <c r="GG39" s="3"/>
      <c r="GH39" s="3"/>
      <c r="GI39" s="3"/>
      <c r="GJ39" s="3"/>
      <c r="GK39" s="3"/>
      <c r="GL39" s="3"/>
      <c r="GM39" s="3"/>
      <c r="GN39" s="3"/>
      <c r="GO39" s="3"/>
      <c r="GP39" s="3"/>
      <c r="GQ39" s="3"/>
      <c r="GR39" s="3"/>
      <c r="GS39" s="3"/>
      <c r="GT39" s="3"/>
      <c r="GU39" s="3"/>
      <c r="GV39" s="3"/>
      <c r="GW39" s="3"/>
      <c r="GX39" s="3"/>
      <c r="GY39" s="3"/>
      <c r="GZ39" s="3"/>
      <c r="HA39" s="3"/>
      <c r="HB39" s="3"/>
      <c r="HC39" s="3"/>
      <c r="HD39" s="3"/>
      <c r="HE39" s="3"/>
      <c r="HF39" s="3"/>
      <c r="HG39" s="3"/>
      <c r="HH39" s="3"/>
      <c r="HI39" s="3"/>
      <c r="HJ39" s="3"/>
      <c r="HK39" s="3"/>
      <c r="HL39" s="3"/>
      <c r="HM39" s="3"/>
      <c r="HN39" s="3"/>
      <c r="HO39" s="3"/>
      <c r="HP39" s="3"/>
    </row>
    <row r="40" spans="1:224" x14ac:dyDescent="0.25">
      <c r="A40" s="158" t="s">
        <v>123</v>
      </c>
      <c r="B40" s="10"/>
      <c r="C40" s="10">
        <v>1</v>
      </c>
      <c r="D40" s="76"/>
      <c r="E40" s="79">
        <v>0.15745513285644583</v>
      </c>
      <c r="F40" s="80"/>
      <c r="G40" s="7">
        <v>0.41857641221386549</v>
      </c>
      <c r="H40" s="7">
        <v>0.47610638376698011</v>
      </c>
      <c r="I40" s="7">
        <v>-5.752997155311465E-2</v>
      </c>
      <c r="J40" s="7">
        <v>1.93072258580501E-2</v>
      </c>
      <c r="K40" s="7"/>
      <c r="L40" s="7"/>
      <c r="M40" s="7"/>
      <c r="N40" s="7"/>
      <c r="O40" s="79">
        <v>0.2668181776600474</v>
      </c>
      <c r="P40" s="7">
        <v>-5.121490917211944E-2</v>
      </c>
      <c r="Q40" s="7">
        <v>2.4496729157368127E-2</v>
      </c>
      <c r="R40" s="7"/>
      <c r="S40" s="7"/>
      <c r="T40" s="80"/>
      <c r="U40" s="6">
        <v>1.7591712936515385</v>
      </c>
      <c r="V40" s="6">
        <v>0.33815181533524019</v>
      </c>
      <c r="W40" s="90">
        <f>IF(ISERR(X40*$AC$1/375),"",(X40*$AC$1/375))</f>
        <v>6.2932848413560685E-2</v>
      </c>
      <c r="X40" s="15">
        <f>IF(ISERR(((($AC$1)^2)*0.002558)*E40*$F$1),"",(((($AC$1)^2)*0.002558)*E40*$F$1))</f>
        <v>0.94399272620341024</v>
      </c>
      <c r="Y40" s="15"/>
      <c r="Z40" s="91"/>
      <c r="AA40" s="90">
        <f t="shared" ref="AA40:AD43" si="39">IF(ISERR(((($AC$1)^2)*0.002558)*G40*$F$1),"",(((($AC$1)^2)*0.002558)*G40*$F$1))</f>
        <v>2.50949639635094</v>
      </c>
      <c r="AB40" s="15">
        <f t="shared" si="39"/>
        <v>2.8544065539279728</v>
      </c>
      <c r="AC40" s="15">
        <f t="shared" si="39"/>
        <v>-0.34491015757703269</v>
      </c>
      <c r="AD40" s="15">
        <f t="shared" si="39"/>
        <v>0.11575285252709099</v>
      </c>
      <c r="AE40" s="132"/>
      <c r="AF40" s="132"/>
      <c r="AG40" s="132"/>
      <c r="AH40" s="133"/>
      <c r="AI40" s="96">
        <f>IF(ISERR(AA40/X40),"",(AA40/X40))</f>
        <v>2.6583853102806612</v>
      </c>
      <c r="AJ40" s="36">
        <f>IF(ISERR(AB40/AA40),"",(AB40/AA40))</f>
        <v>1.1374419816177328</v>
      </c>
      <c r="AK40" s="139">
        <f>IF((ISERROR((Coeff!AB40+TestInfoPage!$B$6)/(Coeff!AA40+TestInfoPage!$B$5))),"",((Coeff!AB40+TestInfoPage!$B$6)/(Coeff!AA40+TestInfoPage!$B$5)))</f>
        <v>1.1374419816177328</v>
      </c>
      <c r="AL40" s="96"/>
      <c r="AM40" s="36"/>
      <c r="AN40" s="142"/>
      <c r="AO40" s="79" t="str">
        <f t="shared" si="34"/>
        <v/>
      </c>
      <c r="AP40" s="4" t="s">
        <v>119</v>
      </c>
      <c r="AQ40" s="4" t="s">
        <v>119</v>
      </c>
      <c r="AR40" s="4" t="s">
        <v>119</v>
      </c>
      <c r="AS40" s="4" t="s">
        <v>119</v>
      </c>
      <c r="AT40" s="128"/>
      <c r="AU40" s="128"/>
      <c r="AV40" s="128"/>
      <c r="AW40" s="129"/>
      <c r="AX40" s="81">
        <v>2.2562606304582851E-2</v>
      </c>
      <c r="AY40" s="4" t="s">
        <v>119</v>
      </c>
      <c r="AZ40" s="15"/>
      <c r="BA40" s="91"/>
      <c r="BB40" s="162">
        <v>-8.7324811203075225E-2</v>
      </c>
      <c r="BC40" s="128">
        <v>-8.9588222641118112E-2</v>
      </c>
      <c r="BD40" s="128">
        <v>-8.290483910831134E-2</v>
      </c>
      <c r="BE40" s="128">
        <v>-8.6320952104754017E-2</v>
      </c>
      <c r="BF40" s="128">
        <v>-8.744662362048744E-2</v>
      </c>
      <c r="BG40" s="128">
        <v>-8.2934795135059802E-2</v>
      </c>
      <c r="BH40" s="128">
        <v>-8.8102211619497633E-2</v>
      </c>
      <c r="BI40" s="128">
        <v>-8.5148446319733603E-2</v>
      </c>
      <c r="BJ40" s="128">
        <v>-8.4528098031976306E-2</v>
      </c>
      <c r="BK40" s="128">
        <v>-8.3765319840426733E-2</v>
      </c>
      <c r="BL40" s="128">
        <v>-8.9369961613796262E-2</v>
      </c>
      <c r="BM40" s="128">
        <v>-9.089118448706289E-2</v>
      </c>
      <c r="BN40" s="128">
        <v>-8.2866281098691902E-2</v>
      </c>
      <c r="BO40" s="128">
        <v>-8.4622250985555592E-2</v>
      </c>
      <c r="BP40" s="128">
        <v>-9.5821802452350432E-2</v>
      </c>
      <c r="BQ40" s="128">
        <v>-8.7954719036023241E-2</v>
      </c>
      <c r="BR40" s="128">
        <v>-8.3065973782510918E-2</v>
      </c>
      <c r="BS40" s="129">
        <v>-6.5865708661060868E-2</v>
      </c>
      <c r="BT40" s="107"/>
      <c r="BU40" s="100"/>
      <c r="BV40" s="100"/>
      <c r="BW40" s="100"/>
      <c r="BX40" s="100"/>
      <c r="BY40" s="100"/>
      <c r="BZ40" s="100"/>
      <c r="CA40" s="100"/>
      <c r="CB40" s="100"/>
      <c r="CC40" s="100"/>
      <c r="CD40" s="100"/>
      <c r="CE40" s="100"/>
      <c r="CF40" s="100"/>
      <c r="CG40" s="100"/>
      <c r="CH40" s="100"/>
      <c r="CI40" s="100"/>
      <c r="CJ40" s="100"/>
      <c r="CK40" s="108"/>
      <c r="CL40" s="1"/>
      <c r="DI40" s="3"/>
      <c r="DJ40" s="3"/>
      <c r="DK40" s="3"/>
      <c r="DL40" s="3"/>
      <c r="DM40" s="3"/>
      <c r="DN40" s="3"/>
      <c r="DO40" s="3"/>
      <c r="DP40" s="3"/>
      <c r="DQ40" s="3"/>
      <c r="DR40" s="3"/>
      <c r="DS40" s="3"/>
      <c r="DT40" s="3"/>
      <c r="DU40" s="3"/>
      <c r="DV40" s="3"/>
      <c r="DW40" s="3"/>
      <c r="DX40" s="3"/>
      <c r="DY40" s="3"/>
      <c r="DZ40" s="3"/>
      <c r="EA40" s="3"/>
      <c r="EB40" s="3"/>
      <c r="EC40" s="3"/>
      <c r="ED40" s="3"/>
      <c r="EE40" s="3"/>
      <c r="EF40" s="3"/>
      <c r="EG40" s="3"/>
      <c r="EH40" s="3"/>
      <c r="EI40" s="3"/>
      <c r="EJ40" s="3"/>
      <c r="EK40" s="3"/>
      <c r="EL40" s="3"/>
      <c r="EM40" s="3"/>
      <c r="EN40" s="3"/>
      <c r="EO40" s="3"/>
      <c r="EP40" s="3"/>
      <c r="EQ40" s="3"/>
      <c r="ER40" s="3"/>
      <c r="ES40" s="3"/>
      <c r="ET40" s="3"/>
      <c r="EU40" s="3"/>
      <c r="EV40" s="3"/>
      <c r="EW40" s="3"/>
      <c r="EX40" s="3"/>
      <c r="EY40" s="3"/>
      <c r="EZ40" s="3"/>
      <c r="FA40" s="3"/>
      <c r="FB40" s="3"/>
      <c r="FC40" s="3"/>
      <c r="FD40" s="3"/>
      <c r="FE40" s="3"/>
      <c r="FF40" s="3"/>
      <c r="FG40" s="3"/>
      <c r="FH40" s="3"/>
      <c r="FI40" s="3"/>
      <c r="FJ40" s="3"/>
      <c r="FK40" s="3"/>
      <c r="FL40" s="3"/>
      <c r="FM40" s="3"/>
      <c r="FN40" s="3"/>
      <c r="FO40" s="3"/>
      <c r="FP40" s="3"/>
      <c r="FQ40" s="3"/>
      <c r="FR40" s="3"/>
      <c r="FS40" s="3"/>
      <c r="FT40" s="3"/>
      <c r="FU40" s="3"/>
      <c r="FV40" s="3"/>
      <c r="FW40" s="3"/>
      <c r="FX40" s="3"/>
      <c r="FY40" s="3"/>
      <c r="FZ40" s="3"/>
      <c r="GA40" s="3"/>
      <c r="GB40" s="3"/>
      <c r="GC40" s="3"/>
      <c r="GD40" s="3"/>
      <c r="GE40" s="3"/>
      <c r="GF40" s="3"/>
      <c r="GG40" s="3"/>
      <c r="GH40" s="3"/>
      <c r="GI40" s="3"/>
      <c r="GJ40" s="3"/>
      <c r="GK40" s="3"/>
      <c r="GL40" s="3"/>
      <c r="GM40" s="3"/>
      <c r="GN40" s="3"/>
      <c r="GO40" s="3"/>
      <c r="GP40" s="3"/>
      <c r="GQ40" s="3"/>
      <c r="GR40" s="3"/>
      <c r="GS40" s="3"/>
      <c r="GT40" s="3"/>
      <c r="GU40" s="3"/>
      <c r="GV40" s="3"/>
      <c r="GW40" s="3"/>
      <c r="GX40" s="3"/>
      <c r="GY40" s="3"/>
      <c r="GZ40" s="3"/>
      <c r="HA40" s="3"/>
      <c r="HB40" s="3"/>
      <c r="HC40" s="3"/>
      <c r="HD40" s="3"/>
      <c r="HE40" s="3"/>
      <c r="HF40" s="3"/>
      <c r="HG40" s="3"/>
      <c r="HH40" s="3"/>
      <c r="HI40" s="3"/>
      <c r="HJ40" s="3"/>
      <c r="HK40" s="3"/>
      <c r="HL40" s="3"/>
      <c r="HM40" s="3"/>
      <c r="HN40" s="3"/>
      <c r="HO40" s="3"/>
      <c r="HP40" s="3"/>
    </row>
    <row r="41" spans="1:224" x14ac:dyDescent="0.25">
      <c r="A41" s="158">
        <v>0</v>
      </c>
      <c r="B41" s="10"/>
      <c r="C41" s="10">
        <v>2</v>
      </c>
      <c r="D41" s="76"/>
      <c r="E41" s="81">
        <v>0.15831968994813664</v>
      </c>
      <c r="F41" s="80"/>
      <c r="G41" s="4">
        <v>0.38627795764161177</v>
      </c>
      <c r="H41" s="4">
        <v>0.46070383302882201</v>
      </c>
      <c r="I41" s="4">
        <v>-7.4425875387210239E-2</v>
      </c>
      <c r="J41" s="4">
        <v>-7.8094943116538591E-3</v>
      </c>
      <c r="K41" s="7"/>
      <c r="L41" s="7"/>
      <c r="M41" s="7"/>
      <c r="N41" s="7"/>
      <c r="O41" s="81">
        <v>0.26756485420801612</v>
      </c>
      <c r="P41" s="4">
        <v>1.5150536709206047E-2</v>
      </c>
      <c r="Q41" s="4">
        <v>8.0517485664928432E-3</v>
      </c>
      <c r="R41" s="7"/>
      <c r="S41" s="7"/>
      <c r="T41" s="80"/>
      <c r="U41" s="6">
        <v>1.7660127528548741</v>
      </c>
      <c r="V41" s="6">
        <v>0.33946689582654799</v>
      </c>
      <c r="W41" s="90">
        <f>IF(ISERR(X41*$AC$1/375),"",(X41*$AC$1/375))</f>
        <v>6.3278401076145852E-2</v>
      </c>
      <c r="X41" s="15">
        <f>IF(ISERR(((($AC$1)^2)*0.002558)*E41*$F$1),"",(((($AC$1)^2)*0.002558)*E41*$F$1))</f>
        <v>0.94917601614218783</v>
      </c>
      <c r="Y41" s="15"/>
      <c r="Z41" s="91"/>
      <c r="AA41" s="90">
        <f t="shared" si="39"/>
        <v>2.3158570679232255</v>
      </c>
      <c r="AB41" s="15">
        <f t="shared" si="39"/>
        <v>2.7620634489556091</v>
      </c>
      <c r="AC41" s="15">
        <f t="shared" si="39"/>
        <v>-0.44620638103238386</v>
      </c>
      <c r="AD41" s="15">
        <f t="shared" si="39"/>
        <v>-4.6820358865337273E-2</v>
      </c>
      <c r="AE41" s="15"/>
      <c r="AF41" s="15"/>
      <c r="AG41" s="15"/>
      <c r="AH41" s="91"/>
      <c r="AI41" s="96">
        <f>IF(ISERR(AA41/X41),"",(AA41/X41))</f>
        <v>2.4398604985150691</v>
      </c>
      <c r="AJ41" s="97">
        <f>IF(ISERR(AB41/AA41),"",(AB41/AA41))</f>
        <v>1.19267440431137</v>
      </c>
      <c r="AK41" s="139">
        <f>IF((ISERROR((Coeff!AB41+TestInfoPage!$B$6)/(Coeff!AA41+TestInfoPage!$B$5))),"",((Coeff!AB41+TestInfoPage!$B$6)/(Coeff!AA41+TestInfoPage!$B$5)))</f>
        <v>1.19267440431137</v>
      </c>
      <c r="AL41" s="96"/>
      <c r="AM41" s="36"/>
      <c r="AN41" s="142"/>
      <c r="AO41" s="79">
        <f t="shared" si="34"/>
        <v>2.1502427860570422E-2</v>
      </c>
      <c r="AP41" s="4" t="s">
        <v>119</v>
      </c>
      <c r="AQ41" s="4">
        <v>2.1502427860570422E-2</v>
      </c>
      <c r="AR41" s="4" t="s">
        <v>119</v>
      </c>
      <c r="AS41" s="4" t="s">
        <v>119</v>
      </c>
      <c r="AT41" s="7"/>
      <c r="AU41" s="7"/>
      <c r="AV41" s="7"/>
      <c r="AW41" s="80"/>
      <c r="AX41" s="81">
        <v>1.6819135390686149E-2</v>
      </c>
      <c r="AY41" s="4" t="s">
        <v>119</v>
      </c>
      <c r="AZ41" s="15"/>
      <c r="BA41" s="91"/>
      <c r="BB41" s="79">
        <v>-9.3266844955200962E-2</v>
      </c>
      <c r="BC41" s="7">
        <v>-9.0427558748398529E-2</v>
      </c>
      <c r="BD41" s="7">
        <v>-8.1614911483093522E-2</v>
      </c>
      <c r="BE41" s="7">
        <v>-9.0974606712104986E-2</v>
      </c>
      <c r="BF41" s="7">
        <v>-9.2648859114482091E-2</v>
      </c>
      <c r="BG41" s="7">
        <v>-8.3823112236397823E-2</v>
      </c>
      <c r="BH41" s="7">
        <v>-8.4661106060599858E-2</v>
      </c>
      <c r="BI41" s="7">
        <v>-8.18425219956216E-2</v>
      </c>
      <c r="BJ41" s="7">
        <v>-8.6425987074679675E-2</v>
      </c>
      <c r="BK41" s="7">
        <v>-8.317528307299922E-2</v>
      </c>
      <c r="BL41" s="7">
        <v>-8.9083516088140954E-2</v>
      </c>
      <c r="BM41" s="7">
        <v>-8.8823168152921725E-2</v>
      </c>
      <c r="BN41" s="7">
        <v>-8.3288123212652471E-2</v>
      </c>
      <c r="BO41" s="7">
        <v>-8.5791708920870638E-2</v>
      </c>
      <c r="BP41" s="7">
        <v>-8.8336184252853583E-2</v>
      </c>
      <c r="BQ41" s="7">
        <v>-9.2908626844207656E-2</v>
      </c>
      <c r="BR41" s="7">
        <v>-7.4806639009654632E-2</v>
      </c>
      <c r="BS41" s="80">
        <v>-6.5545682134039426E-2</v>
      </c>
      <c r="BT41" s="107"/>
      <c r="BU41" s="100"/>
      <c r="BV41" s="100"/>
      <c r="BW41" s="100"/>
      <c r="BX41" s="100"/>
      <c r="BY41" s="100"/>
      <c r="BZ41" s="100"/>
      <c r="CA41" s="100"/>
      <c r="CB41" s="100"/>
      <c r="CC41" s="100"/>
      <c r="CD41" s="100"/>
      <c r="CE41" s="100"/>
      <c r="CF41" s="100"/>
      <c r="CG41" s="100"/>
      <c r="CH41" s="100"/>
      <c r="CI41" s="100"/>
      <c r="CJ41" s="100"/>
      <c r="CK41" s="108"/>
      <c r="CL41" s="1"/>
      <c r="DI41" s="3"/>
      <c r="DJ41" s="3"/>
      <c r="DK41" s="3"/>
      <c r="DL41" s="3"/>
      <c r="DM41" s="3"/>
      <c r="DN41" s="3"/>
      <c r="DO41" s="3"/>
      <c r="DP41" s="3"/>
      <c r="DQ41" s="3"/>
      <c r="DR41" s="3"/>
      <c r="DS41" s="3"/>
      <c r="DT41" s="3"/>
      <c r="DU41" s="3"/>
      <c r="DV41" s="3"/>
      <c r="DW41" s="3"/>
      <c r="DX41" s="3"/>
      <c r="DY41" s="3"/>
      <c r="DZ41" s="3"/>
      <c r="EA41" s="3"/>
      <c r="EB41" s="3"/>
      <c r="EC41" s="3"/>
      <c r="ED41" s="3"/>
      <c r="EE41" s="3"/>
      <c r="EF41" s="3"/>
      <c r="EG41" s="3"/>
      <c r="EH41" s="3"/>
      <c r="EI41" s="3"/>
      <c r="EJ41" s="3"/>
      <c r="EK41" s="3"/>
      <c r="EL41" s="3"/>
      <c r="EM41" s="3"/>
      <c r="EN41" s="3"/>
      <c r="EO41" s="3"/>
      <c r="EP41" s="3"/>
      <c r="EQ41" s="3"/>
      <c r="ER41" s="3"/>
      <c r="ES41" s="3"/>
      <c r="ET41" s="3"/>
      <c r="EU41" s="3"/>
      <c r="EV41" s="3"/>
      <c r="EW41" s="3"/>
      <c r="EX41" s="3"/>
      <c r="EY41" s="3"/>
      <c r="EZ41" s="3"/>
      <c r="FA41" s="3"/>
      <c r="FB41" s="3"/>
      <c r="FC41" s="3"/>
      <c r="FD41" s="3"/>
      <c r="FE41" s="3"/>
      <c r="FF41" s="3"/>
      <c r="FG41" s="3"/>
      <c r="FH41" s="3"/>
      <c r="FI41" s="3"/>
      <c r="FJ41" s="3"/>
      <c r="FK41" s="3"/>
      <c r="FL41" s="3"/>
      <c r="FM41" s="3"/>
      <c r="FN41" s="3"/>
      <c r="FO41" s="3"/>
      <c r="FP41" s="3"/>
      <c r="FQ41" s="3"/>
      <c r="FR41" s="3"/>
      <c r="FS41" s="3"/>
      <c r="FT41" s="3"/>
      <c r="FU41" s="3"/>
      <c r="FV41" s="3"/>
      <c r="FW41" s="3"/>
      <c r="FX41" s="3"/>
      <c r="FY41" s="3"/>
      <c r="FZ41" s="3"/>
      <c r="GA41" s="3"/>
      <c r="GB41" s="3"/>
      <c r="GC41" s="3"/>
      <c r="GD41" s="3"/>
      <c r="GE41" s="3"/>
      <c r="GF41" s="3"/>
      <c r="GG41" s="3"/>
      <c r="GH41" s="3"/>
      <c r="GI41" s="3"/>
      <c r="GJ41" s="3"/>
      <c r="GK41" s="3"/>
      <c r="GL41" s="3"/>
      <c r="GM41" s="3"/>
      <c r="GN41" s="3"/>
      <c r="GO41" s="3"/>
      <c r="GP41" s="3"/>
      <c r="GQ41" s="3"/>
      <c r="GR41" s="3"/>
      <c r="GS41" s="3"/>
      <c r="GT41" s="3"/>
      <c r="GU41" s="3"/>
      <c r="GV41" s="3"/>
      <c r="GW41" s="3"/>
      <c r="GX41" s="3"/>
      <c r="GY41" s="3"/>
      <c r="GZ41" s="3"/>
      <c r="HA41" s="3"/>
      <c r="HB41" s="3"/>
      <c r="HC41" s="3"/>
      <c r="HD41" s="3"/>
      <c r="HE41" s="3"/>
      <c r="HF41" s="3"/>
      <c r="HG41" s="3"/>
      <c r="HH41" s="3"/>
      <c r="HI41" s="3"/>
      <c r="HJ41" s="3"/>
      <c r="HK41" s="3"/>
      <c r="HL41" s="3"/>
      <c r="HM41" s="3"/>
      <c r="HN41" s="3"/>
      <c r="HO41" s="3"/>
      <c r="HP41" s="3"/>
    </row>
    <row r="42" spans="1:224" ht="13.5" customHeight="1" x14ac:dyDescent="0.25">
      <c r="A42" s="158">
        <v>0</v>
      </c>
      <c r="B42" s="10"/>
      <c r="C42" s="10">
        <v>3</v>
      </c>
      <c r="D42" s="76"/>
      <c r="E42" s="81" t="s">
        <v>119</v>
      </c>
      <c r="F42" s="80"/>
      <c r="G42" s="4" t="s">
        <v>119</v>
      </c>
      <c r="H42" s="4" t="s">
        <v>119</v>
      </c>
      <c r="I42" s="4" t="s">
        <v>119</v>
      </c>
      <c r="J42" s="4" t="s">
        <v>119</v>
      </c>
      <c r="K42" s="7"/>
      <c r="L42" s="7"/>
      <c r="M42" s="7"/>
      <c r="N42" s="7"/>
      <c r="O42" s="81" t="s">
        <v>119</v>
      </c>
      <c r="P42" s="4" t="s">
        <v>119</v>
      </c>
      <c r="Q42" s="4" t="s">
        <v>119</v>
      </c>
      <c r="R42" s="7"/>
      <c r="S42" s="7"/>
      <c r="T42" s="80"/>
      <c r="U42" s="6" t="s">
        <v>119</v>
      </c>
      <c r="V42" s="6" t="s">
        <v>119</v>
      </c>
      <c r="W42" s="90" t="str">
        <f>IF(ISERR(X42*$AC$1/375),"",(X42*$AC$1/375))</f>
        <v/>
      </c>
      <c r="X42" s="15" t="str">
        <f>IF(ISERR(((($AC$1)^2)*0.002558)*E42*$F$1),"",(((($AC$1)^2)*0.002558)*E42*$F$1))</f>
        <v/>
      </c>
      <c r="Y42" s="15"/>
      <c r="Z42" s="91"/>
      <c r="AA42" s="90" t="str">
        <f t="shared" si="39"/>
        <v/>
      </c>
      <c r="AB42" s="15" t="str">
        <f t="shared" si="39"/>
        <v/>
      </c>
      <c r="AC42" s="15" t="str">
        <f t="shared" si="39"/>
        <v/>
      </c>
      <c r="AD42" s="15" t="str">
        <f t="shared" si="39"/>
        <v/>
      </c>
      <c r="AE42" s="15"/>
      <c r="AF42" s="15"/>
      <c r="AG42" s="15"/>
      <c r="AH42" s="91"/>
      <c r="AI42" s="96" t="str">
        <f>IF(ISERR(AA42/X42),"",(AA42/X42))</f>
        <v/>
      </c>
      <c r="AJ42" s="97" t="str">
        <f>IF(ISERR(AB42/AA42),"",(AB42/AA42))</f>
        <v/>
      </c>
      <c r="AK42" s="139" t="str">
        <f>IF((ISERROR((Coeff!AB42+TestInfoPage!$B$6)/(Coeff!AA42+TestInfoPage!$B$5))),"",((Coeff!AB42+TestInfoPage!$B$6)/(Coeff!AA42+TestInfoPage!$B$5)))</f>
        <v/>
      </c>
      <c r="AL42" s="96"/>
      <c r="AM42" s="36"/>
      <c r="AN42" s="142"/>
      <c r="AO42" s="79" t="str">
        <f t="shared" si="34"/>
        <v/>
      </c>
      <c r="AP42" s="4" t="s">
        <v>119</v>
      </c>
      <c r="AQ42" s="4" t="s">
        <v>119</v>
      </c>
      <c r="AR42" s="4" t="s">
        <v>119</v>
      </c>
      <c r="AS42" s="4" t="s">
        <v>119</v>
      </c>
      <c r="AT42" s="7"/>
      <c r="AU42" s="7"/>
      <c r="AV42" s="7"/>
      <c r="AW42" s="80"/>
      <c r="AX42" s="81" t="s">
        <v>119</v>
      </c>
      <c r="AY42" s="4" t="s">
        <v>119</v>
      </c>
      <c r="AZ42" s="15"/>
      <c r="BA42" s="91"/>
      <c r="BB42" s="79" t="s">
        <v>119</v>
      </c>
      <c r="BC42" s="7" t="s">
        <v>119</v>
      </c>
      <c r="BD42" s="7" t="s">
        <v>119</v>
      </c>
      <c r="BE42" s="7" t="s">
        <v>119</v>
      </c>
      <c r="BF42" s="7" t="s">
        <v>119</v>
      </c>
      <c r="BG42" s="7" t="s">
        <v>119</v>
      </c>
      <c r="BH42" s="7" t="s">
        <v>119</v>
      </c>
      <c r="BI42" s="7" t="s">
        <v>119</v>
      </c>
      <c r="BJ42" s="7" t="s">
        <v>119</v>
      </c>
      <c r="BK42" s="7" t="s">
        <v>119</v>
      </c>
      <c r="BL42" s="7" t="s">
        <v>119</v>
      </c>
      <c r="BM42" s="7" t="s">
        <v>119</v>
      </c>
      <c r="BN42" s="7" t="s">
        <v>119</v>
      </c>
      <c r="BO42" s="7" t="s">
        <v>119</v>
      </c>
      <c r="BP42" s="7" t="s">
        <v>119</v>
      </c>
      <c r="BQ42" s="7" t="s">
        <v>119</v>
      </c>
      <c r="BR42" s="7" t="s">
        <v>119</v>
      </c>
      <c r="BS42" s="80" t="s">
        <v>119</v>
      </c>
      <c r="BT42" s="107"/>
      <c r="BU42" s="100"/>
      <c r="BV42" s="100"/>
      <c r="BW42" s="100"/>
      <c r="BX42" s="100"/>
      <c r="BY42" s="100"/>
      <c r="BZ42" s="100"/>
      <c r="CA42" s="100"/>
      <c r="CB42" s="100"/>
      <c r="CC42" s="100"/>
      <c r="CD42" s="100"/>
      <c r="CE42" s="100"/>
      <c r="CF42" s="100"/>
      <c r="CG42" s="100"/>
      <c r="CH42" s="100"/>
      <c r="CI42" s="100"/>
      <c r="CJ42" s="100"/>
      <c r="CK42" s="108"/>
      <c r="CL42" s="1"/>
      <c r="DI42" s="3"/>
      <c r="DJ42" s="3"/>
      <c r="DK42" s="3"/>
      <c r="DL42" s="3"/>
      <c r="DM42" s="3"/>
      <c r="DN42" s="3"/>
      <c r="DO42" s="3"/>
      <c r="DP42" s="3"/>
      <c r="DQ42" s="3"/>
      <c r="DR42" s="3"/>
      <c r="DS42" s="3"/>
      <c r="DT42" s="3"/>
      <c r="DU42" s="3"/>
      <c r="DV42" s="3"/>
      <c r="DW42" s="3"/>
      <c r="DX42" s="3"/>
      <c r="DY42" s="3"/>
      <c r="DZ42" s="3"/>
      <c r="EA42" s="3"/>
      <c r="EB42" s="3"/>
      <c r="EC42" s="3"/>
      <c r="ED42" s="3"/>
      <c r="EE42" s="3"/>
      <c r="EF42" s="3"/>
      <c r="EG42" s="3"/>
      <c r="EH42" s="3"/>
      <c r="EI42" s="3"/>
      <c r="EJ42" s="3"/>
      <c r="EK42" s="3"/>
      <c r="EL42" s="3"/>
      <c r="EM42" s="3"/>
      <c r="EN42" s="3"/>
      <c r="EO42" s="3"/>
      <c r="EP42" s="3"/>
      <c r="EQ42" s="3"/>
      <c r="ER42" s="3"/>
      <c r="ES42" s="3"/>
      <c r="ET42" s="3"/>
      <c r="EU42" s="3"/>
      <c r="EV42" s="3"/>
      <c r="EW42" s="3"/>
      <c r="EX42" s="3"/>
      <c r="EY42" s="3"/>
      <c r="EZ42" s="3"/>
      <c r="FA42" s="3"/>
      <c r="FB42" s="3"/>
      <c r="FC42" s="3"/>
      <c r="FD42" s="3"/>
      <c r="FE42" s="3"/>
      <c r="FF42" s="3"/>
      <c r="FG42" s="3"/>
      <c r="FH42" s="3"/>
      <c r="FI42" s="3"/>
      <c r="FJ42" s="3"/>
      <c r="FK42" s="3"/>
      <c r="FL42" s="3"/>
      <c r="FM42" s="3"/>
      <c r="FN42" s="3"/>
      <c r="FO42" s="3"/>
      <c r="FP42" s="3"/>
      <c r="FQ42" s="3"/>
      <c r="FR42" s="3"/>
      <c r="FS42" s="3"/>
      <c r="FT42" s="3"/>
      <c r="FU42" s="3"/>
      <c r="FV42" s="3"/>
      <c r="FW42" s="3"/>
      <c r="FX42" s="3"/>
      <c r="FY42" s="3"/>
      <c r="FZ42" s="3"/>
      <c r="GA42" s="3"/>
      <c r="GB42" s="3"/>
      <c r="GC42" s="3"/>
      <c r="GD42" s="3"/>
      <c r="GE42" s="3"/>
      <c r="GF42" s="3"/>
      <c r="GG42" s="3"/>
      <c r="GH42" s="3"/>
      <c r="GI42" s="3"/>
      <c r="GJ42" s="3"/>
      <c r="GK42" s="3"/>
      <c r="GL42" s="3"/>
      <c r="GM42" s="3"/>
      <c r="GN42" s="3"/>
      <c r="GO42" s="3"/>
      <c r="GP42" s="3"/>
      <c r="GQ42" s="3"/>
      <c r="GR42" s="3"/>
      <c r="GS42" s="3"/>
      <c r="GT42" s="3"/>
      <c r="GU42" s="3"/>
      <c r="GV42" s="3"/>
      <c r="GW42" s="3"/>
      <c r="GX42" s="3"/>
      <c r="GY42" s="3"/>
      <c r="GZ42" s="3"/>
      <c r="HA42" s="3"/>
      <c r="HB42" s="3"/>
      <c r="HC42" s="3"/>
      <c r="HD42" s="3"/>
      <c r="HE42" s="3"/>
      <c r="HF42" s="3"/>
      <c r="HG42" s="3"/>
      <c r="HH42" s="3"/>
      <c r="HI42" s="3"/>
      <c r="HJ42" s="3"/>
      <c r="HK42" s="3"/>
      <c r="HL42" s="3"/>
      <c r="HM42" s="3"/>
      <c r="HN42" s="3"/>
      <c r="HO42" s="3"/>
      <c r="HP42" s="3"/>
    </row>
    <row r="43" spans="1:224" ht="13.5" customHeight="1" thickBot="1" x14ac:dyDescent="0.3">
      <c r="A43" s="158">
        <v>0</v>
      </c>
      <c r="B43" s="10"/>
      <c r="C43" s="10">
        <v>4</v>
      </c>
      <c r="D43" s="76"/>
      <c r="E43" s="81" t="s">
        <v>119</v>
      </c>
      <c r="F43" s="80"/>
      <c r="G43" s="4" t="s">
        <v>119</v>
      </c>
      <c r="H43" s="4" t="s">
        <v>119</v>
      </c>
      <c r="I43" s="4" t="s">
        <v>119</v>
      </c>
      <c r="J43" s="4" t="s">
        <v>119</v>
      </c>
      <c r="K43" s="7"/>
      <c r="L43" s="7"/>
      <c r="M43" s="7"/>
      <c r="N43" s="7"/>
      <c r="O43" s="81" t="s">
        <v>119</v>
      </c>
      <c r="P43" s="4" t="s">
        <v>119</v>
      </c>
      <c r="Q43" s="4" t="s">
        <v>119</v>
      </c>
      <c r="R43" s="7"/>
      <c r="S43" s="7"/>
      <c r="T43" s="84"/>
      <c r="U43" s="6" t="s">
        <v>119</v>
      </c>
      <c r="V43" s="6" t="s">
        <v>119</v>
      </c>
      <c r="W43" s="90" t="str">
        <f>IF(ISERR(X43*$AC$1/375),"",(X43*$AC$1/375))</f>
        <v/>
      </c>
      <c r="X43" s="15" t="str">
        <f>IF(ISERR(((($AC$1)^2)*0.002558)*E43*$F$1),"",(((($AC$1)^2)*0.002558)*E43*$F$1))</f>
        <v/>
      </c>
      <c r="Y43" s="15"/>
      <c r="Z43" s="91"/>
      <c r="AA43" s="90" t="str">
        <f t="shared" si="39"/>
        <v/>
      </c>
      <c r="AB43" s="15" t="str">
        <f t="shared" si="39"/>
        <v/>
      </c>
      <c r="AC43" s="15" t="str">
        <f t="shared" si="39"/>
        <v/>
      </c>
      <c r="AD43" s="15" t="str">
        <f t="shared" si="39"/>
        <v/>
      </c>
      <c r="AE43" s="15"/>
      <c r="AF43" s="15"/>
      <c r="AG43" s="15"/>
      <c r="AH43" s="91"/>
      <c r="AI43" s="96" t="str">
        <f>IF(ISERR(AA43/X43),"",(AA43/X43))</f>
        <v/>
      </c>
      <c r="AJ43" s="97" t="str">
        <f>IF(ISERR(AB43/AA43),"",(AB43/AA43))</f>
        <v/>
      </c>
      <c r="AK43" s="139" t="str">
        <f>IF((ISERROR((Coeff!AB43+TestInfoPage!$B$6)/(Coeff!AA43+TestInfoPage!$B$5))),"",((Coeff!AB43+TestInfoPage!$B$6)/(Coeff!AA43+TestInfoPage!$B$5)))</f>
        <v/>
      </c>
      <c r="AL43" s="96"/>
      <c r="AM43" s="36"/>
      <c r="AN43" s="142"/>
      <c r="AO43" s="79" t="str">
        <f t="shared" si="34"/>
        <v/>
      </c>
      <c r="AP43" s="4" t="s">
        <v>119</v>
      </c>
      <c r="AQ43" s="4" t="s">
        <v>119</v>
      </c>
      <c r="AR43" s="4" t="s">
        <v>119</v>
      </c>
      <c r="AS43" s="4" t="s">
        <v>119</v>
      </c>
      <c r="AT43" s="7"/>
      <c r="AU43" s="7"/>
      <c r="AV43" s="7"/>
      <c r="AW43" s="80"/>
      <c r="AX43" s="81" t="s">
        <v>119</v>
      </c>
      <c r="AY43" s="4" t="s">
        <v>119</v>
      </c>
      <c r="AZ43" s="15"/>
      <c r="BA43" s="91"/>
      <c r="BB43" s="163" t="s">
        <v>119</v>
      </c>
      <c r="BC43" s="157" t="s">
        <v>119</v>
      </c>
      <c r="BD43" s="157" t="s">
        <v>119</v>
      </c>
      <c r="BE43" s="157" t="s">
        <v>119</v>
      </c>
      <c r="BF43" s="157" t="s">
        <v>119</v>
      </c>
      <c r="BG43" s="157" t="s">
        <v>119</v>
      </c>
      <c r="BH43" s="157" t="s">
        <v>119</v>
      </c>
      <c r="BI43" s="157" t="s">
        <v>119</v>
      </c>
      <c r="BJ43" s="157" t="s">
        <v>119</v>
      </c>
      <c r="BK43" s="157" t="s">
        <v>119</v>
      </c>
      <c r="BL43" s="157" t="s">
        <v>119</v>
      </c>
      <c r="BM43" s="157" t="s">
        <v>119</v>
      </c>
      <c r="BN43" s="157" t="s">
        <v>119</v>
      </c>
      <c r="BO43" s="157" t="s">
        <v>119</v>
      </c>
      <c r="BP43" s="157" t="s">
        <v>119</v>
      </c>
      <c r="BQ43" s="157" t="s">
        <v>119</v>
      </c>
      <c r="BR43" s="157" t="s">
        <v>119</v>
      </c>
      <c r="BS43" s="84" t="s">
        <v>119</v>
      </c>
      <c r="BT43" s="107"/>
      <c r="BU43" s="100"/>
      <c r="BV43" s="100"/>
      <c r="BW43" s="100"/>
      <c r="BX43" s="100"/>
      <c r="BY43" s="100"/>
      <c r="BZ43" s="100"/>
      <c r="CA43" s="100"/>
      <c r="CB43" s="100"/>
      <c r="CC43" s="100"/>
      <c r="CD43" s="100"/>
      <c r="CE43" s="100"/>
      <c r="CF43" s="100"/>
      <c r="CG43" s="100"/>
      <c r="CH43" s="100"/>
      <c r="CI43" s="100"/>
      <c r="CJ43" s="100"/>
      <c r="CK43" s="108"/>
      <c r="CL43" s="1"/>
    </row>
    <row r="44" spans="1:224" ht="14.25" thickBot="1" x14ac:dyDescent="0.3">
      <c r="A44" s="158" t="s">
        <v>131</v>
      </c>
      <c r="B44" s="9">
        <f>B39+1</f>
        <v>9</v>
      </c>
      <c r="C44" s="66" t="s">
        <v>56</v>
      </c>
      <c r="D44" s="75"/>
      <c r="E44" s="82">
        <f>IF(ISERR(AVERAGE(E45:E48)),"",AVERAGE(E45:E48))</f>
        <v>0.15965118868064204</v>
      </c>
      <c r="F44" s="78" t="str">
        <f>IF($D44="","",E44-VLOOKUP($D44,$B$4:$BS$990,4,FALSE))</f>
        <v/>
      </c>
      <c r="G44" s="44">
        <f t="shared" ref="G44:Q44" si="40">IF(ISERR(AVERAGE(G45:G48)),"",AVERAGE(G45:G48))</f>
        <v>0.35726976412281619</v>
      </c>
      <c r="H44" s="8">
        <f t="shared" si="40"/>
        <v>0.40039448407925859</v>
      </c>
      <c r="I44" s="8">
        <f t="shared" si="40"/>
        <v>-4.3124719956442403E-2</v>
      </c>
      <c r="J44" s="44">
        <f>IF(ISERR(AVERAGE(J45:J48)),"",AVERAGE(J45:J48))</f>
        <v>-1.5561376957347186E-2</v>
      </c>
      <c r="K44" s="56" t="str">
        <f>IF($D44="","",G44-VLOOKUP($D44,$B$4:$BS$990,6,FALSE))</f>
        <v/>
      </c>
      <c r="L44" s="56" t="str">
        <f>IF($D44="","",H44-VLOOKUP($D44,$B$4:$BS$990,7,FALSE))</f>
        <v/>
      </c>
      <c r="M44" s="56" t="str">
        <f>IF($D44="","",I44-VLOOKUP($D44,$B$4:$BS$990,8,FALSE))</f>
        <v/>
      </c>
      <c r="N44" s="74" t="str">
        <f>IF($D44="","",J44-VLOOKUP($D44,$B$4:$BS$990,9,FALSE))</f>
        <v/>
      </c>
      <c r="O44" s="82">
        <f t="shared" si="40"/>
        <v>0.2217596020178505</v>
      </c>
      <c r="P44" s="8">
        <f t="shared" si="40"/>
        <v>3.5619015611323447E-4</v>
      </c>
      <c r="Q44" s="8">
        <f t="shared" si="40"/>
        <v>3.2767282243674704E-3</v>
      </c>
      <c r="R44" s="56" t="str">
        <f>IF($D44="","",O44-VLOOKUP($D44,$B$4:$BS$990,14,FALSE))</f>
        <v/>
      </c>
      <c r="S44" s="56" t="str">
        <f>IF($D44="","",P44-VLOOKUP($D44,$B$4:$BS$990,15,FALSE))</f>
        <v/>
      </c>
      <c r="T44" s="78" t="str">
        <f>IF($D44="","",Q44-VLOOKUP($D44,$B$4:$BS$990,16,FALSE))</f>
        <v/>
      </c>
      <c r="U44" s="44">
        <f t="shared" ref="U44:AS44" si="41">IF(ISERR(AVERAGE(U45:U48)),"",AVERAGE(U45:U48))</f>
        <v>1.7621894574473864</v>
      </c>
      <c r="V44" s="11">
        <f t="shared" si="41"/>
        <v>0.33873197348710871</v>
      </c>
      <c r="W44" s="88">
        <f t="shared" si="41"/>
        <v>6.3810584475794102E-2</v>
      </c>
      <c r="X44" s="32">
        <f t="shared" si="41"/>
        <v>0.9571587671369115</v>
      </c>
      <c r="Y44" s="71" t="str">
        <f>IF($D44="","",W44-VLOOKUP($D44,$B$4:$BS$990,22,FALSE))</f>
        <v/>
      </c>
      <c r="Z44" s="89" t="str">
        <f>IF($D44="","",X44-VLOOKUP($D44,$B$4:$BS$990,23,FALSE))</f>
        <v/>
      </c>
      <c r="AA44" s="88">
        <f t="shared" si="41"/>
        <v>2.1419438827175714</v>
      </c>
      <c r="AB44" s="31">
        <f t="shared" si="41"/>
        <v>2.4004900553314301</v>
      </c>
      <c r="AC44" s="31">
        <f t="shared" si="41"/>
        <v>-0.25854617261385859</v>
      </c>
      <c r="AD44" s="32">
        <f>IF(ISERR(AVERAGE(AD45:AD48)),"",AVERAGE(AD45:AD48))</f>
        <v>-9.3295317789595544E-2</v>
      </c>
      <c r="AE44" s="71" t="str">
        <f>IF($D44="","",AA44-VLOOKUP($D44,$B$4:$BS$990,26,FALSE))</f>
        <v/>
      </c>
      <c r="AF44" s="71" t="str">
        <f>IF($D44="","",AB44-VLOOKUP($D44,$B$4:$BS$990,27,FALSE))</f>
        <v/>
      </c>
      <c r="AG44" s="92" t="str">
        <f>IF($D44="","",AC44-VLOOKUP($D44,$B$4:$BS$990,28,FALSE))</f>
        <v/>
      </c>
      <c r="AH44" s="89" t="str">
        <f>IF($D44="","",AD44-VLOOKUP($D44,$B$4:$BS$990,29,FALSE))</f>
        <v/>
      </c>
      <c r="AI44" s="95">
        <f t="shared" si="41"/>
        <v>2.2379559360589267</v>
      </c>
      <c r="AJ44" s="35">
        <f t="shared" si="41"/>
        <v>1.1371179406239262</v>
      </c>
      <c r="AK44" s="138">
        <f>IF((ISERROR((Coeff!AB44+TestInfoPage!$B$6)/(Coeff!AA44+TestInfoPage!$B$5))),"",((Coeff!AB44+TestInfoPage!$B$6)/(Coeff!AA44+TestInfoPage!$B$5)))</f>
        <v>1.1207063241478721</v>
      </c>
      <c r="AL44" s="135" t="str">
        <f>IF($D44="","",AI44-VLOOKUP($D44,$B$4:$BS$990,34,FALSE))</f>
        <v/>
      </c>
      <c r="AM44" s="72" t="str">
        <f>IF($D44="","",AJ44-VLOOKUP($D44,$B$4:$BS$990,35,FALSE))</f>
        <v/>
      </c>
      <c r="AN44" s="115" t="str">
        <f>IF($D44="","",AK44-VLOOKUP($D44,$B$4:$BS$990,36,FALSE))</f>
        <v/>
      </c>
      <c r="AO44" s="134">
        <f t="shared" si="34"/>
        <v>2.692547476746136E-2</v>
      </c>
      <c r="AP44" s="44" t="str">
        <f t="shared" si="41"/>
        <v/>
      </c>
      <c r="AQ44" s="8">
        <f t="shared" si="41"/>
        <v>4.1463740439659544E-2</v>
      </c>
      <c r="AR44" s="11">
        <f t="shared" si="41"/>
        <v>1.0238635226207873E-2</v>
      </c>
      <c r="AS44" s="11">
        <f t="shared" si="41"/>
        <v>2.9074048636516654E-2</v>
      </c>
      <c r="AT44" s="56" t="str">
        <f>IF(ISERR(AP44-VLOOKUP($D44,$B$4:$BS$990,41,FALSE)),"",(AP44-VLOOKUP($D44,$B$4:$BS$990,41,FALSE)))</f>
        <v/>
      </c>
      <c r="AU44" s="56" t="e">
        <f>IF(ISERR(AQ44-VLOOKUP($D44,$B$4:$BS$990,42,FALSE)),"",(AQ44-VLOOKUP($D44,$B$4:$BS$990,42,FALSE)))</f>
        <v>#N/A</v>
      </c>
      <c r="AV44" s="74" t="e">
        <f>IF(ISERR(AR44-VLOOKUP($D44,$B$4:$BS$990,43,FALSE)),"",AR44-VLOOKUP($D44,$B$4:$BS$990,43,FALSE))</f>
        <v>#N/A</v>
      </c>
      <c r="AW44" s="74" t="e">
        <f>IF(ISERR(AS44-VLOOKUP($D44,$B$4:$BS$990,44,FALSE)),"",AS44-VLOOKUP($D44,$B$4:$BS$990,44,FALSE))</f>
        <v>#N/A</v>
      </c>
      <c r="AX44" s="82">
        <f t="shared" ref="AX44:AY44" si="42">IF(ISERR(AVERAGE(AX45:AX48)),"",AVERAGE(AX45:AX48))</f>
        <v>2.3657347444700074E-2</v>
      </c>
      <c r="AY44" s="11" t="str">
        <f t="shared" si="42"/>
        <v/>
      </c>
      <c r="AZ44" s="89" t="e">
        <f>IF(ISERR(AX44-VLOOKUP($D44,$B$4:$BS$990,49,FALSE)),"",(AX44-VLOOKUP($D44,$B$4:$BS$990,49,FALSE)))</f>
        <v>#N/A</v>
      </c>
      <c r="BA44" s="89" t="str">
        <f>IF(ISERR(AY44-VLOOKUP($D44,$B$4:$BS$990,50,FALSE)),"",(AY44-VLOOKUP($D44,$B$4:$BS$990,50,FALSE)))</f>
        <v/>
      </c>
      <c r="BB44" s="82">
        <f t="shared" ref="BB44:BS44" si="43">IF(ISERR(AVERAGE(BB45:BB48)),"",AVERAGE(BB45:BB48))</f>
        <v>-8.5556678347376708E-2</v>
      </c>
      <c r="BC44" s="8">
        <f t="shared" si="43"/>
        <v>-8.644509037678566E-2</v>
      </c>
      <c r="BD44" s="8">
        <f t="shared" si="43"/>
        <v>-8.5422157858588282E-2</v>
      </c>
      <c r="BE44" s="8">
        <f t="shared" si="43"/>
        <v>-8.6026316390788837E-2</v>
      </c>
      <c r="BF44" s="8">
        <f t="shared" si="43"/>
        <v>-8.6196492560455834E-2</v>
      </c>
      <c r="BG44" s="8">
        <f t="shared" si="43"/>
        <v>-8.9939465083397563E-2</v>
      </c>
      <c r="BH44" s="8">
        <f t="shared" si="43"/>
        <v>-8.0968052918749478E-2</v>
      </c>
      <c r="BI44" s="8">
        <f t="shared" si="43"/>
        <v>-8.642709544768265E-2</v>
      </c>
      <c r="BJ44" s="8">
        <f t="shared" si="43"/>
        <v>-9.5071460106279718E-2</v>
      </c>
      <c r="BK44" s="8">
        <f t="shared" si="43"/>
        <v>-8.363962931969493E-2</v>
      </c>
      <c r="BL44" s="8">
        <f t="shared" si="43"/>
        <v>-9.1640417505460203E-2</v>
      </c>
      <c r="BM44" s="8">
        <f t="shared" si="43"/>
        <v>-8.2807958485552016E-2</v>
      </c>
      <c r="BN44" s="8">
        <f t="shared" si="43"/>
        <v>-8.6444839682514679E-2</v>
      </c>
      <c r="BO44" s="8">
        <f t="shared" si="43"/>
        <v>-8.884549168807597E-2</v>
      </c>
      <c r="BP44" s="8">
        <f t="shared" si="43"/>
        <v>-8.66847776006818E-2</v>
      </c>
      <c r="BQ44" s="8">
        <f t="shared" si="43"/>
        <v>-7.6534129942363138E-2</v>
      </c>
      <c r="BR44" s="8">
        <f t="shared" si="43"/>
        <v>-7.6494885562125914E-2</v>
      </c>
      <c r="BS44" s="103">
        <f t="shared" si="43"/>
        <v>-9.21458272305542E-2</v>
      </c>
      <c r="BT44" s="106" t="str">
        <f>IF($D44="","",BB44-VLOOKUP($D44,$B$4:$BS$990,53,FALSE))</f>
        <v/>
      </c>
      <c r="BU44" s="56" t="str">
        <f>IF($D44="","",BC44-VLOOKUP($D44,$B$4:$BS$990,54,FALSE))</f>
        <v/>
      </c>
      <c r="BV44" s="56" t="str">
        <f>IF($D44="","",BD44-VLOOKUP($D44,$B$4:$BS$990,55,FALSE))</f>
        <v/>
      </c>
      <c r="BW44" s="56" t="str">
        <f>IF($D44="","",BE44-VLOOKUP($D44,$B$4:$BS$990,56,FALSE))</f>
        <v/>
      </c>
      <c r="BX44" s="56" t="str">
        <f>IF($D44="","",BF44-VLOOKUP($D44,$B$4:$BS$990,57,FALSE))</f>
        <v/>
      </c>
      <c r="BY44" s="56" t="str">
        <f>IF($D44="","",BG44-VLOOKUP($D44,$B$4:$BS$990,58,FALSE))</f>
        <v/>
      </c>
      <c r="BZ44" s="56" t="str">
        <f>IF($D44="","",BH44-VLOOKUP($D44,$B$4:$BS$990,59,FALSE))</f>
        <v/>
      </c>
      <c r="CA44" s="56" t="str">
        <f>IF($D44="","",BI44-VLOOKUP($D44,$B$4:$BS$990,60,FALSE))</f>
        <v/>
      </c>
      <c r="CB44" s="56" t="str">
        <f>IF($D44="","",BJ44-VLOOKUP($D44,$B$4:$BS$990,61,FALSE))</f>
        <v/>
      </c>
      <c r="CC44" s="56" t="str">
        <f>IF($D44="","",BK44-VLOOKUP($D44,$B$4:$BS$990,62,FALSE))</f>
        <v/>
      </c>
      <c r="CD44" s="56" t="str">
        <f>IF($D44="","",BL44-VLOOKUP($D44,$B$4:$BS$990,63,FALSE))</f>
        <v/>
      </c>
      <c r="CE44" s="56" t="str">
        <f>IF($D44="","",BM44-VLOOKUP($D44,$B$4:$BS$990,64,FALSE))</f>
        <v/>
      </c>
      <c r="CF44" s="56" t="str">
        <f>IF($D44="","",BN44-VLOOKUP($D44,$B$4:$BS$990,65,FALSE))</f>
        <v/>
      </c>
      <c r="CG44" s="56" t="str">
        <f>IF($D44="","",BO44-VLOOKUP($D44,$B$4:$BS$990,66,FALSE))</f>
        <v/>
      </c>
      <c r="CH44" s="56" t="str">
        <f>IF($D44="","",BP44-VLOOKUP($D44,$B$4:$BS$990,67,FALSE))</f>
        <v/>
      </c>
      <c r="CI44" s="56" t="str">
        <f>IF($D44="","",BQ44-VLOOKUP($D44,$B$4:$BS$990,68,FALSE))</f>
        <v/>
      </c>
      <c r="CJ44" s="56" t="str">
        <f>IF($D44="","",BR44-VLOOKUP($D44,$B$4:$BS$990,69,FALSE))</f>
        <v/>
      </c>
      <c r="CK44" s="78" t="str">
        <f>IF($D44="","",BS44-VLOOKUP($D44,$B$4:$BS$990,70,FALSE))</f>
        <v/>
      </c>
      <c r="CL44" s="1"/>
      <c r="DI44" s="3"/>
      <c r="DJ44" s="3"/>
      <c r="DK44" s="3"/>
      <c r="DL44" s="3"/>
      <c r="DM44" s="3"/>
      <c r="DN44" s="3"/>
      <c r="DO44" s="3"/>
      <c r="DP44" s="3"/>
      <c r="DQ44" s="3"/>
      <c r="DR44" s="3"/>
      <c r="DS44" s="3"/>
      <c r="DT44" s="3"/>
      <c r="DU44" s="3"/>
      <c r="DV44" s="3"/>
      <c r="DW44" s="3"/>
      <c r="DX44" s="3"/>
      <c r="DY44" s="3"/>
      <c r="DZ44" s="3"/>
      <c r="EA44" s="3"/>
      <c r="EB44" s="3"/>
      <c r="EC44" s="3"/>
      <c r="ED44" s="3"/>
      <c r="EE44" s="3"/>
      <c r="EF44" s="3"/>
      <c r="EG44" s="3"/>
      <c r="EH44" s="3"/>
      <c r="EI44" s="3"/>
      <c r="EJ44" s="3"/>
      <c r="EK44" s="3"/>
      <c r="EL44" s="3"/>
      <c r="EM44" s="3"/>
      <c r="EN44" s="3"/>
      <c r="EO44" s="3"/>
      <c r="EP44" s="3"/>
      <c r="EQ44" s="3"/>
      <c r="ER44" s="3"/>
      <c r="ES44" s="3"/>
      <c r="ET44" s="3"/>
      <c r="EU44" s="3"/>
      <c r="EV44" s="3"/>
      <c r="EW44" s="3"/>
      <c r="EX44" s="3"/>
      <c r="EY44" s="3"/>
      <c r="EZ44" s="3"/>
      <c r="FA44" s="3"/>
      <c r="FB44" s="3"/>
      <c r="FC44" s="3"/>
      <c r="FD44" s="3"/>
      <c r="FE44" s="3"/>
      <c r="FF44" s="3"/>
      <c r="FG44" s="3"/>
      <c r="FH44" s="3"/>
      <c r="FI44" s="3"/>
      <c r="FJ44" s="3"/>
      <c r="FK44" s="3"/>
      <c r="FL44" s="3"/>
      <c r="FM44" s="3"/>
      <c r="FN44" s="3"/>
      <c r="FO44" s="3"/>
      <c r="FP44" s="3"/>
      <c r="FQ44" s="3"/>
      <c r="FR44" s="3"/>
      <c r="FS44" s="3"/>
      <c r="FT44" s="3"/>
      <c r="FU44" s="3"/>
      <c r="FV44" s="3"/>
      <c r="FW44" s="3"/>
      <c r="FX44" s="3"/>
      <c r="FY44" s="3"/>
      <c r="FZ44" s="3"/>
      <c r="GA44" s="3"/>
      <c r="GB44" s="3"/>
      <c r="GC44" s="3"/>
      <c r="GD44" s="3"/>
      <c r="GE44" s="3"/>
      <c r="GF44" s="3"/>
      <c r="GG44" s="3"/>
      <c r="GH44" s="3"/>
      <c r="GI44" s="3"/>
      <c r="GJ44" s="3"/>
      <c r="GK44" s="3"/>
      <c r="GL44" s="3"/>
      <c r="GM44" s="3"/>
      <c r="GN44" s="3"/>
      <c r="GO44" s="3"/>
      <c r="GP44" s="3"/>
      <c r="GQ44" s="3"/>
      <c r="GR44" s="3"/>
      <c r="GS44" s="3"/>
      <c r="GT44" s="3"/>
      <c r="GU44" s="3"/>
      <c r="GV44" s="3"/>
      <c r="GW44" s="3"/>
      <c r="GX44" s="3"/>
      <c r="GY44" s="3"/>
      <c r="GZ44" s="3"/>
      <c r="HA44" s="3"/>
      <c r="HB44" s="3"/>
      <c r="HC44" s="3"/>
      <c r="HD44" s="3"/>
      <c r="HE44" s="3"/>
      <c r="HF44" s="3"/>
      <c r="HG44" s="3"/>
      <c r="HH44" s="3"/>
      <c r="HI44" s="3"/>
      <c r="HJ44" s="3"/>
      <c r="HK44" s="3"/>
      <c r="HL44" s="3"/>
      <c r="HM44" s="3"/>
      <c r="HN44" s="3"/>
      <c r="HO44" s="3"/>
      <c r="HP44" s="3"/>
    </row>
    <row r="45" spans="1:224" x14ac:dyDescent="0.25">
      <c r="A45" s="158" t="s">
        <v>123</v>
      </c>
      <c r="B45" s="10"/>
      <c r="C45" s="10">
        <v>1</v>
      </c>
      <c r="D45" s="76"/>
      <c r="E45" s="79">
        <v>0.15974244776102559</v>
      </c>
      <c r="F45" s="80"/>
      <c r="G45" s="7">
        <v>0.31800465661388511</v>
      </c>
      <c r="H45" s="7">
        <v>0.40909575402931986</v>
      </c>
      <c r="I45" s="7">
        <v>-9.1091097415434752E-2</v>
      </c>
      <c r="J45" s="7">
        <v>-1.3138377392367496E-2</v>
      </c>
      <c r="K45" s="7"/>
      <c r="L45" s="7"/>
      <c r="M45" s="7"/>
      <c r="N45" s="7"/>
      <c r="O45" s="79">
        <v>0.2500934257223773</v>
      </c>
      <c r="P45" s="7">
        <v>-6.2495236894883396E-3</v>
      </c>
      <c r="Q45" s="7">
        <v>-2.052873649425363E-2</v>
      </c>
      <c r="R45" s="7"/>
      <c r="S45" s="7"/>
      <c r="T45" s="80"/>
      <c r="U45" s="6">
        <v>1.7599001772565306</v>
      </c>
      <c r="V45" s="6">
        <v>0.3382919229615331</v>
      </c>
      <c r="W45" s="90">
        <f>IF(ISERR(X45*$AC$1/375),"",(X45*$AC$1/375))</f>
        <v>6.3847059589484903E-2</v>
      </c>
      <c r="X45" s="15">
        <f>IF(ISERR(((($AC$1)^2)*0.002558)*E45*$F$1),"",(((($AC$1)^2)*0.002558)*E45*$F$1))</f>
        <v>0.95770589384227356</v>
      </c>
      <c r="Y45" s="15"/>
      <c r="Z45" s="91"/>
      <c r="AA45" s="90">
        <f t="shared" ref="AA45:AD48" si="44">IF(ISERR(((($AC$1)^2)*0.002558)*G45*$F$1),"",(((($AC$1)^2)*0.002558)*G45*$F$1))</f>
        <v>1.9065372928554327</v>
      </c>
      <c r="AB45" s="15">
        <f t="shared" si="44"/>
        <v>2.4526568878289066</v>
      </c>
      <c r="AC45" s="15">
        <f t="shared" si="44"/>
        <v>-0.54611959497347362</v>
      </c>
      <c r="AD45" s="15">
        <f t="shared" si="44"/>
        <v>-7.8768678210178245E-2</v>
      </c>
      <c r="AE45" s="132"/>
      <c r="AF45" s="132"/>
      <c r="AG45" s="132"/>
      <c r="AH45" s="133"/>
      <c r="AI45" s="96">
        <f>IF(ISERR(AA45/X45),"",(AA45/X45))</f>
        <v>1.9907335906710251</v>
      </c>
      <c r="AJ45" s="36">
        <f>IF(ISERR(AB45/AA45),"",(AB45/AA45))</f>
        <v>1.2864457973206216</v>
      </c>
      <c r="AK45" s="139">
        <f>IF((ISERROR((Coeff!AB45+TestInfoPage!$B$6)/(Coeff!AA45+TestInfoPage!$B$5))),"",((Coeff!AB45+TestInfoPage!$B$6)/(Coeff!AA45+TestInfoPage!$B$5)))</f>
        <v>1.2864457973206216</v>
      </c>
      <c r="AL45" s="96"/>
      <c r="AM45" s="36"/>
      <c r="AN45" s="142"/>
      <c r="AO45" s="79">
        <f t="shared" si="34"/>
        <v>4.2919447621679652E-2</v>
      </c>
      <c r="AP45" s="4" t="s">
        <v>119</v>
      </c>
      <c r="AQ45" s="4">
        <v>3.8272607548682135E-2</v>
      </c>
      <c r="AR45" s="4" t="s">
        <v>119</v>
      </c>
      <c r="AS45" s="4">
        <v>4.7566287694677169E-2</v>
      </c>
      <c r="AT45" s="128"/>
      <c r="AU45" s="128"/>
      <c r="AV45" s="128"/>
      <c r="AW45" s="129"/>
      <c r="AX45" s="81" t="s">
        <v>119</v>
      </c>
      <c r="AY45" s="4" t="s">
        <v>119</v>
      </c>
      <c r="AZ45" s="15"/>
      <c r="BA45" s="91"/>
      <c r="BB45" s="162">
        <v>-8.4753383536119525E-2</v>
      </c>
      <c r="BC45" s="128">
        <v>-8.5309620825636104E-2</v>
      </c>
      <c r="BD45" s="128">
        <v>-8.1525597410139913E-2</v>
      </c>
      <c r="BE45" s="128">
        <v>-8.9308202538559103E-2</v>
      </c>
      <c r="BF45" s="128">
        <v>-8.4869820723685555E-2</v>
      </c>
      <c r="BG45" s="128">
        <v>-9.1199448804018507E-2</v>
      </c>
      <c r="BH45" s="128">
        <v>-8.1452140905136486E-2</v>
      </c>
      <c r="BI45" s="128">
        <v>-8.3135443083514046E-2</v>
      </c>
      <c r="BJ45" s="128">
        <v>-9.4993895290625602E-2</v>
      </c>
      <c r="BK45" s="128">
        <v>-8.5678048965135922E-2</v>
      </c>
      <c r="BL45" s="128">
        <v>-8.9347261714210743E-2</v>
      </c>
      <c r="BM45" s="128">
        <v>-8.0784824810340744E-2</v>
      </c>
      <c r="BN45" s="128">
        <v>-8.6441988655894225E-2</v>
      </c>
      <c r="BO45" s="128">
        <v>-8.714487828264221E-2</v>
      </c>
      <c r="BP45" s="128">
        <v>-8.7067943643414997E-2</v>
      </c>
      <c r="BQ45" s="128">
        <v>-7.3043594006544574E-2</v>
      </c>
      <c r="BR45" s="128">
        <v>-7.5116113657937578E-2</v>
      </c>
      <c r="BS45" s="129">
        <v>-9.3280889145972962E-2</v>
      </c>
      <c r="BT45" s="107"/>
      <c r="BU45" s="100"/>
      <c r="BV45" s="100"/>
      <c r="BW45" s="100"/>
      <c r="BX45" s="100"/>
      <c r="BY45" s="100"/>
      <c r="BZ45" s="100"/>
      <c r="CA45" s="100"/>
      <c r="CB45" s="100"/>
      <c r="CC45" s="100"/>
      <c r="CD45" s="100"/>
      <c r="CE45" s="100"/>
      <c r="CF45" s="100"/>
      <c r="CG45" s="100"/>
      <c r="CH45" s="100"/>
      <c r="CI45" s="100"/>
      <c r="CJ45" s="100"/>
      <c r="CK45" s="108"/>
      <c r="CL45" s="1"/>
      <c r="DI45" s="3"/>
      <c r="DJ45" s="3"/>
      <c r="DK45" s="3"/>
      <c r="DL45" s="3"/>
      <c r="DM45" s="3"/>
      <c r="DN45" s="3"/>
      <c r="DO45" s="3"/>
      <c r="DP45" s="3"/>
      <c r="DQ45" s="3"/>
      <c r="DR45" s="3"/>
      <c r="DS45" s="3"/>
      <c r="DT45" s="3"/>
      <c r="DU45" s="3"/>
      <c r="DV45" s="3"/>
      <c r="DW45" s="3"/>
      <c r="DX45" s="3"/>
      <c r="DY45" s="3"/>
      <c r="DZ45" s="3"/>
      <c r="EA45" s="3"/>
      <c r="EB45" s="3"/>
      <c r="EC45" s="3"/>
      <c r="ED45" s="3"/>
      <c r="EE45" s="3"/>
      <c r="EF45" s="3"/>
      <c r="EG45" s="3"/>
      <c r="EH45" s="3"/>
      <c r="EI45" s="3"/>
      <c r="EJ45" s="3"/>
      <c r="EK45" s="3"/>
      <c r="EL45" s="3"/>
      <c r="EM45" s="3"/>
      <c r="EN45" s="3"/>
      <c r="EO45" s="3"/>
      <c r="EP45" s="3"/>
      <c r="EQ45" s="3"/>
      <c r="ER45" s="3"/>
      <c r="ES45" s="3"/>
      <c r="ET45" s="3"/>
      <c r="EU45" s="3"/>
      <c r="EV45" s="3"/>
      <c r="EW45" s="3"/>
      <c r="EX45" s="3"/>
      <c r="EY45" s="3"/>
      <c r="EZ45" s="3"/>
      <c r="FA45" s="3"/>
      <c r="FB45" s="3"/>
      <c r="FC45" s="3"/>
      <c r="FD45" s="3"/>
      <c r="FE45" s="3"/>
      <c r="FF45" s="3"/>
      <c r="FG45" s="3"/>
      <c r="FH45" s="3"/>
      <c r="FI45" s="3"/>
      <c r="FJ45" s="3"/>
      <c r="FK45" s="3"/>
      <c r="FL45" s="3"/>
      <c r="FM45" s="3"/>
      <c r="FN45" s="3"/>
      <c r="FO45" s="3"/>
      <c r="FP45" s="3"/>
      <c r="FQ45" s="3"/>
      <c r="FR45" s="3"/>
      <c r="FS45" s="3"/>
      <c r="FT45" s="3"/>
      <c r="FU45" s="3"/>
      <c r="FV45" s="3"/>
      <c r="FW45" s="3"/>
      <c r="FX45" s="3"/>
      <c r="FY45" s="3"/>
      <c r="FZ45" s="3"/>
      <c r="GA45" s="3"/>
      <c r="GB45" s="3"/>
      <c r="GC45" s="3"/>
      <c r="GD45" s="3"/>
      <c r="GE45" s="3"/>
      <c r="GF45" s="3"/>
      <c r="GG45" s="3"/>
      <c r="GH45" s="3"/>
      <c r="GI45" s="3"/>
      <c r="GJ45" s="3"/>
      <c r="GK45" s="3"/>
      <c r="GL45" s="3"/>
      <c r="GM45" s="3"/>
      <c r="GN45" s="3"/>
      <c r="GO45" s="3"/>
      <c r="GP45" s="3"/>
      <c r="GQ45" s="3"/>
      <c r="GR45" s="3"/>
      <c r="GS45" s="3"/>
      <c r="GT45" s="3"/>
      <c r="GU45" s="3"/>
      <c r="GV45" s="3"/>
      <c r="GW45" s="3"/>
      <c r="GX45" s="3"/>
      <c r="GY45" s="3"/>
      <c r="GZ45" s="3"/>
      <c r="HA45" s="3"/>
      <c r="HB45" s="3"/>
      <c r="HC45" s="3"/>
      <c r="HD45" s="3"/>
      <c r="HE45" s="3"/>
      <c r="HF45" s="3"/>
      <c r="HG45" s="3"/>
      <c r="HH45" s="3"/>
      <c r="HI45" s="3"/>
      <c r="HJ45" s="3"/>
      <c r="HK45" s="3"/>
      <c r="HL45" s="3"/>
      <c r="HM45" s="3"/>
      <c r="HN45" s="3"/>
      <c r="HO45" s="3"/>
      <c r="HP45" s="3"/>
    </row>
    <row r="46" spans="1:224" x14ac:dyDescent="0.25">
      <c r="A46" s="158">
        <v>0</v>
      </c>
      <c r="B46" s="10"/>
      <c r="C46" s="10">
        <v>2</v>
      </c>
      <c r="D46" s="76"/>
      <c r="E46" s="81">
        <v>0.15955992960025847</v>
      </c>
      <c r="F46" s="80"/>
      <c r="G46" s="4">
        <v>0.39653487163174733</v>
      </c>
      <c r="H46" s="4">
        <v>0.39169321412919739</v>
      </c>
      <c r="I46" s="4">
        <v>4.8416575025499453E-3</v>
      </c>
      <c r="J46" s="4">
        <v>-1.7984376522326876E-2</v>
      </c>
      <c r="K46" s="7"/>
      <c r="L46" s="7"/>
      <c r="M46" s="7"/>
      <c r="N46" s="7"/>
      <c r="O46" s="81">
        <v>0.19342577831332372</v>
      </c>
      <c r="P46" s="4">
        <v>6.9619040017148085E-3</v>
      </c>
      <c r="Q46" s="4">
        <v>2.7082192942988571E-2</v>
      </c>
      <c r="R46" s="7"/>
      <c r="S46" s="7"/>
      <c r="T46" s="80"/>
      <c r="U46" s="6">
        <v>1.7644787376382423</v>
      </c>
      <c r="V46" s="6">
        <v>0.33917202401268437</v>
      </c>
      <c r="W46" s="90">
        <f>IF(ISERR(X46*$AC$1/375),"",(X46*$AC$1/375))</f>
        <v>6.3774109362103301E-2</v>
      </c>
      <c r="X46" s="15">
        <f>IF(ISERR(((($AC$1)^2)*0.002558)*E46*$F$1),"",(((($AC$1)^2)*0.002558)*E46*$F$1))</f>
        <v>0.95661164043154956</v>
      </c>
      <c r="Y46" s="15"/>
      <c r="Z46" s="91"/>
      <c r="AA46" s="90">
        <f t="shared" si="44"/>
        <v>2.3773504725797099</v>
      </c>
      <c r="AB46" s="15">
        <f t="shared" si="44"/>
        <v>2.3483232228339537</v>
      </c>
      <c r="AC46" s="15">
        <f t="shared" si="44"/>
        <v>2.9027249745756468E-2</v>
      </c>
      <c r="AD46" s="15">
        <f t="shared" si="44"/>
        <v>-0.10782195736901283</v>
      </c>
      <c r="AE46" s="15"/>
      <c r="AF46" s="15"/>
      <c r="AG46" s="15"/>
      <c r="AH46" s="91"/>
      <c r="AI46" s="96">
        <f>IF(ISERR(AA46/X46),"",(AA46/X46))</f>
        <v>2.4851782814468284</v>
      </c>
      <c r="AJ46" s="97">
        <f>IF(ISERR(AB46/AA46),"",(AB46/AA46))</f>
        <v>0.98779008392723089</v>
      </c>
      <c r="AK46" s="139">
        <f>IF((ISERROR((Coeff!AB46+TestInfoPage!$B$6)/(Coeff!AA46+TestInfoPage!$B$5))),"",((Coeff!AB46+TestInfoPage!$B$6)/(Coeff!AA46+TestInfoPage!$B$5)))</f>
        <v>0.98779008392723089</v>
      </c>
      <c r="AL46" s="96"/>
      <c r="AM46" s="36"/>
      <c r="AN46" s="142"/>
      <c r="AO46" s="79">
        <f t="shared" si="34"/>
        <v>2.1825106045066989E-2</v>
      </c>
      <c r="AP46" s="4" t="s">
        <v>119</v>
      </c>
      <c r="AQ46" s="4">
        <v>4.465487333063696E-2</v>
      </c>
      <c r="AR46" s="4">
        <v>1.0238635226207873E-2</v>
      </c>
      <c r="AS46" s="4">
        <v>1.0581809578356137E-2</v>
      </c>
      <c r="AT46" s="7"/>
      <c r="AU46" s="7"/>
      <c r="AV46" s="7"/>
      <c r="AW46" s="80"/>
      <c r="AX46" s="81">
        <v>2.3657347444700074E-2</v>
      </c>
      <c r="AY46" s="4" t="s">
        <v>119</v>
      </c>
      <c r="AZ46" s="15"/>
      <c r="BA46" s="91"/>
      <c r="BB46" s="79">
        <v>-8.6359973158633904E-2</v>
      </c>
      <c r="BC46" s="7">
        <v>-8.7580559927935203E-2</v>
      </c>
      <c r="BD46" s="7">
        <v>-8.9318718307036651E-2</v>
      </c>
      <c r="BE46" s="7">
        <v>-8.2744430243018571E-2</v>
      </c>
      <c r="BF46" s="7">
        <v>-8.7523164397226128E-2</v>
      </c>
      <c r="BG46" s="7">
        <v>-8.8679481362776633E-2</v>
      </c>
      <c r="BH46" s="7">
        <v>-8.048396493236247E-2</v>
      </c>
      <c r="BI46" s="7">
        <v>-8.9718747811851254E-2</v>
      </c>
      <c r="BJ46" s="7">
        <v>-9.5149024921933834E-2</v>
      </c>
      <c r="BK46" s="7">
        <v>-8.1601209674253924E-2</v>
      </c>
      <c r="BL46" s="7">
        <v>-9.3933573296709649E-2</v>
      </c>
      <c r="BM46" s="7">
        <v>-8.4831092160763288E-2</v>
      </c>
      <c r="BN46" s="7">
        <v>-8.6447690709135133E-2</v>
      </c>
      <c r="BO46" s="7">
        <v>-9.0546105093509729E-2</v>
      </c>
      <c r="BP46" s="7">
        <v>-8.630161155794859E-2</v>
      </c>
      <c r="BQ46" s="7">
        <v>-8.0024665878181689E-2</v>
      </c>
      <c r="BR46" s="7">
        <v>-7.787365746631425E-2</v>
      </c>
      <c r="BS46" s="80">
        <v>-9.1010765315135453E-2</v>
      </c>
      <c r="BT46" s="107"/>
      <c r="BU46" s="100"/>
      <c r="BV46" s="100"/>
      <c r="BW46" s="100"/>
      <c r="BX46" s="100"/>
      <c r="BY46" s="100"/>
      <c r="BZ46" s="100"/>
      <c r="CA46" s="100"/>
      <c r="CB46" s="100"/>
      <c r="CC46" s="100"/>
      <c r="CD46" s="100"/>
      <c r="CE46" s="100"/>
      <c r="CF46" s="100"/>
      <c r="CG46" s="100"/>
      <c r="CH46" s="100"/>
      <c r="CI46" s="100"/>
      <c r="CJ46" s="100"/>
      <c r="CK46" s="108"/>
      <c r="CL46" s="1"/>
      <c r="DI46" s="3"/>
      <c r="DJ46" s="3"/>
      <c r="DK46" s="3"/>
      <c r="DL46" s="3"/>
      <c r="DM46" s="3"/>
      <c r="DN46" s="3"/>
      <c r="DO46" s="3"/>
      <c r="DP46" s="3"/>
      <c r="DQ46" s="3"/>
      <c r="DR46" s="3"/>
      <c r="DS46" s="3"/>
      <c r="DT46" s="3"/>
      <c r="DU46" s="3"/>
      <c r="DV46" s="3"/>
      <c r="DW46" s="3"/>
      <c r="DX46" s="3"/>
      <c r="DY46" s="3"/>
      <c r="DZ46" s="3"/>
      <c r="EA46" s="3"/>
      <c r="EB46" s="3"/>
      <c r="EC46" s="3"/>
      <c r="ED46" s="3"/>
      <c r="EE46" s="3"/>
      <c r="EF46" s="3"/>
      <c r="EG46" s="3"/>
      <c r="EH46" s="3"/>
      <c r="EI46" s="3"/>
      <c r="EJ46" s="3"/>
      <c r="EK46" s="3"/>
      <c r="EL46" s="3"/>
      <c r="EM46" s="3"/>
      <c r="EN46" s="3"/>
      <c r="EO46" s="3"/>
      <c r="EP46" s="3"/>
      <c r="EQ46" s="3"/>
      <c r="ER46" s="3"/>
      <c r="ES46" s="3"/>
      <c r="ET46" s="3"/>
      <c r="EU46" s="3"/>
      <c r="EV46" s="3"/>
      <c r="EW46" s="3"/>
      <c r="EX46" s="3"/>
      <c r="EY46" s="3"/>
      <c r="EZ46" s="3"/>
      <c r="FA46" s="3"/>
      <c r="FB46" s="3"/>
      <c r="FC46" s="3"/>
      <c r="FD46" s="3"/>
      <c r="FE46" s="3"/>
      <c r="FF46" s="3"/>
      <c r="FG46" s="3"/>
      <c r="FH46" s="3"/>
      <c r="FI46" s="3"/>
      <c r="FJ46" s="3"/>
      <c r="FK46" s="3"/>
      <c r="FL46" s="3"/>
      <c r="FM46" s="3"/>
      <c r="FN46" s="3"/>
      <c r="FO46" s="3"/>
      <c r="FP46" s="3"/>
      <c r="FQ46" s="3"/>
      <c r="FR46" s="3"/>
      <c r="FS46" s="3"/>
      <c r="FT46" s="3"/>
      <c r="FU46" s="3"/>
      <c r="FV46" s="3"/>
      <c r="FW46" s="3"/>
      <c r="FX46" s="3"/>
      <c r="FY46" s="3"/>
      <c r="FZ46" s="3"/>
      <c r="GA46" s="3"/>
      <c r="GB46" s="3"/>
      <c r="GC46" s="3"/>
      <c r="GD46" s="3"/>
      <c r="GE46" s="3"/>
      <c r="GF46" s="3"/>
      <c r="GG46" s="3"/>
      <c r="GH46" s="3"/>
      <c r="GI46" s="3"/>
      <c r="GJ46" s="3"/>
      <c r="GK46" s="3"/>
      <c r="GL46" s="3"/>
      <c r="GM46" s="3"/>
      <c r="GN46" s="3"/>
      <c r="GO46" s="3"/>
      <c r="GP46" s="3"/>
      <c r="GQ46" s="3"/>
      <c r="GR46" s="3"/>
      <c r="GS46" s="3"/>
      <c r="GT46" s="3"/>
      <c r="GU46" s="3"/>
      <c r="GV46" s="3"/>
      <c r="GW46" s="3"/>
      <c r="GX46" s="3"/>
      <c r="GY46" s="3"/>
      <c r="GZ46" s="3"/>
      <c r="HA46" s="3"/>
      <c r="HB46" s="3"/>
      <c r="HC46" s="3"/>
      <c r="HD46" s="3"/>
      <c r="HE46" s="3"/>
      <c r="HF46" s="3"/>
      <c r="HG46" s="3"/>
      <c r="HH46" s="3"/>
      <c r="HI46" s="3"/>
      <c r="HJ46" s="3"/>
      <c r="HK46" s="3"/>
      <c r="HL46" s="3"/>
      <c r="HM46" s="3"/>
      <c r="HN46" s="3"/>
      <c r="HO46" s="3"/>
      <c r="HP46" s="3"/>
    </row>
    <row r="47" spans="1:224" ht="13.5" customHeight="1" x14ac:dyDescent="0.25">
      <c r="A47" s="158">
        <v>0</v>
      </c>
      <c r="B47" s="10"/>
      <c r="C47" s="10">
        <v>3</v>
      </c>
      <c r="D47" s="76"/>
      <c r="E47" s="81" t="s">
        <v>119</v>
      </c>
      <c r="F47" s="80"/>
      <c r="G47" s="4" t="s">
        <v>119</v>
      </c>
      <c r="H47" s="4" t="s">
        <v>119</v>
      </c>
      <c r="I47" s="4" t="s">
        <v>119</v>
      </c>
      <c r="J47" s="4" t="s">
        <v>119</v>
      </c>
      <c r="K47" s="7"/>
      <c r="L47" s="7"/>
      <c r="M47" s="7"/>
      <c r="N47" s="7"/>
      <c r="O47" s="81" t="s">
        <v>119</v>
      </c>
      <c r="P47" s="4" t="s">
        <v>119</v>
      </c>
      <c r="Q47" s="4" t="s">
        <v>119</v>
      </c>
      <c r="R47" s="7"/>
      <c r="S47" s="7"/>
      <c r="T47" s="80"/>
      <c r="U47" s="6" t="s">
        <v>119</v>
      </c>
      <c r="V47" s="6" t="s">
        <v>119</v>
      </c>
      <c r="W47" s="90" t="str">
        <f>IF(ISERR(X47*$AC$1/375),"",(X47*$AC$1/375))</f>
        <v/>
      </c>
      <c r="X47" s="15" t="str">
        <f>IF(ISERR(((($AC$1)^2)*0.002558)*E47*$F$1),"",(((($AC$1)^2)*0.002558)*E47*$F$1))</f>
        <v/>
      </c>
      <c r="Y47" s="15"/>
      <c r="Z47" s="91"/>
      <c r="AA47" s="90" t="str">
        <f t="shared" si="44"/>
        <v/>
      </c>
      <c r="AB47" s="15" t="str">
        <f t="shared" si="44"/>
        <v/>
      </c>
      <c r="AC47" s="15" t="str">
        <f t="shared" si="44"/>
        <v/>
      </c>
      <c r="AD47" s="15" t="str">
        <f t="shared" si="44"/>
        <v/>
      </c>
      <c r="AE47" s="15"/>
      <c r="AF47" s="15"/>
      <c r="AG47" s="15"/>
      <c r="AH47" s="91"/>
      <c r="AI47" s="96" t="str">
        <f>IF(ISERR(AA47/X47),"",(AA47/X47))</f>
        <v/>
      </c>
      <c r="AJ47" s="97" t="str">
        <f>IF(ISERR(AB47/AA47),"",(AB47/AA47))</f>
        <v/>
      </c>
      <c r="AK47" s="139" t="str">
        <f>IF((ISERROR((Coeff!AB47+TestInfoPage!$B$6)/(Coeff!AA47+TestInfoPage!$B$5))),"",((Coeff!AB47+TestInfoPage!$B$6)/(Coeff!AA47+TestInfoPage!$B$5)))</f>
        <v/>
      </c>
      <c r="AL47" s="96"/>
      <c r="AM47" s="36"/>
      <c r="AN47" s="142"/>
      <c r="AO47" s="79" t="str">
        <f t="shared" si="34"/>
        <v/>
      </c>
      <c r="AP47" s="4" t="s">
        <v>119</v>
      </c>
      <c r="AQ47" s="4" t="s">
        <v>119</v>
      </c>
      <c r="AR47" s="4" t="s">
        <v>119</v>
      </c>
      <c r="AS47" s="4" t="s">
        <v>119</v>
      </c>
      <c r="AT47" s="7"/>
      <c r="AU47" s="7"/>
      <c r="AV47" s="7"/>
      <c r="AW47" s="80"/>
      <c r="AX47" s="81" t="s">
        <v>119</v>
      </c>
      <c r="AY47" s="4" t="s">
        <v>119</v>
      </c>
      <c r="AZ47" s="15"/>
      <c r="BA47" s="91"/>
      <c r="BB47" s="79" t="s">
        <v>119</v>
      </c>
      <c r="BC47" s="7" t="s">
        <v>119</v>
      </c>
      <c r="BD47" s="7" t="s">
        <v>119</v>
      </c>
      <c r="BE47" s="7" t="s">
        <v>119</v>
      </c>
      <c r="BF47" s="7" t="s">
        <v>119</v>
      </c>
      <c r="BG47" s="7" t="s">
        <v>119</v>
      </c>
      <c r="BH47" s="7" t="s">
        <v>119</v>
      </c>
      <c r="BI47" s="7" t="s">
        <v>119</v>
      </c>
      <c r="BJ47" s="7" t="s">
        <v>119</v>
      </c>
      <c r="BK47" s="7" t="s">
        <v>119</v>
      </c>
      <c r="BL47" s="7" t="s">
        <v>119</v>
      </c>
      <c r="BM47" s="7" t="s">
        <v>119</v>
      </c>
      <c r="BN47" s="7" t="s">
        <v>119</v>
      </c>
      <c r="BO47" s="7" t="s">
        <v>119</v>
      </c>
      <c r="BP47" s="7" t="s">
        <v>119</v>
      </c>
      <c r="BQ47" s="7" t="s">
        <v>119</v>
      </c>
      <c r="BR47" s="7" t="s">
        <v>119</v>
      </c>
      <c r="BS47" s="80" t="s">
        <v>119</v>
      </c>
      <c r="BT47" s="107"/>
      <c r="BU47" s="100"/>
      <c r="BV47" s="100"/>
      <c r="BW47" s="100"/>
      <c r="BX47" s="100"/>
      <c r="BY47" s="100"/>
      <c r="BZ47" s="100"/>
      <c r="CA47" s="100"/>
      <c r="CB47" s="100"/>
      <c r="CC47" s="100"/>
      <c r="CD47" s="100"/>
      <c r="CE47" s="100"/>
      <c r="CF47" s="100"/>
      <c r="CG47" s="100"/>
      <c r="CH47" s="100"/>
      <c r="CI47" s="100"/>
      <c r="CJ47" s="100"/>
      <c r="CK47" s="108"/>
      <c r="CL47" s="1"/>
      <c r="DI47" s="3"/>
      <c r="DJ47" s="3"/>
      <c r="DK47" s="3"/>
      <c r="DL47" s="3"/>
      <c r="DM47" s="3"/>
      <c r="DN47" s="3"/>
      <c r="DO47" s="3"/>
      <c r="DP47" s="3"/>
      <c r="DQ47" s="3"/>
      <c r="DR47" s="3"/>
      <c r="DS47" s="3"/>
      <c r="DT47" s="3"/>
      <c r="DU47" s="3"/>
      <c r="DV47" s="3"/>
      <c r="DW47" s="3"/>
      <c r="DX47" s="3"/>
      <c r="DY47" s="3"/>
      <c r="DZ47" s="3"/>
      <c r="EA47" s="3"/>
      <c r="EB47" s="3"/>
      <c r="EC47" s="3"/>
      <c r="ED47" s="3"/>
      <c r="EE47" s="3"/>
      <c r="EF47" s="3"/>
      <c r="EG47" s="3"/>
      <c r="EH47" s="3"/>
      <c r="EI47" s="3"/>
      <c r="EJ47" s="3"/>
      <c r="EK47" s="3"/>
      <c r="EL47" s="3"/>
      <c r="EM47" s="3"/>
      <c r="EN47" s="3"/>
      <c r="EO47" s="3"/>
      <c r="EP47" s="3"/>
      <c r="EQ47" s="3"/>
      <c r="ER47" s="3"/>
      <c r="ES47" s="3"/>
      <c r="ET47" s="3"/>
      <c r="EU47" s="3"/>
      <c r="EV47" s="3"/>
      <c r="EW47" s="3"/>
      <c r="EX47" s="3"/>
      <c r="EY47" s="3"/>
      <c r="EZ47" s="3"/>
      <c r="FA47" s="3"/>
      <c r="FB47" s="3"/>
      <c r="FC47" s="3"/>
      <c r="FD47" s="3"/>
      <c r="FE47" s="3"/>
      <c r="FF47" s="3"/>
      <c r="FG47" s="3"/>
      <c r="FH47" s="3"/>
      <c r="FI47" s="3"/>
      <c r="FJ47" s="3"/>
      <c r="FK47" s="3"/>
      <c r="FL47" s="3"/>
      <c r="FM47" s="3"/>
      <c r="FN47" s="3"/>
      <c r="FO47" s="3"/>
      <c r="FP47" s="3"/>
      <c r="FQ47" s="3"/>
      <c r="FR47" s="3"/>
      <c r="FS47" s="3"/>
      <c r="FT47" s="3"/>
      <c r="FU47" s="3"/>
      <c r="FV47" s="3"/>
      <c r="FW47" s="3"/>
      <c r="FX47" s="3"/>
      <c r="FY47" s="3"/>
      <c r="FZ47" s="3"/>
      <c r="GA47" s="3"/>
      <c r="GB47" s="3"/>
      <c r="GC47" s="3"/>
      <c r="GD47" s="3"/>
      <c r="GE47" s="3"/>
      <c r="GF47" s="3"/>
      <c r="GG47" s="3"/>
      <c r="GH47" s="3"/>
      <c r="GI47" s="3"/>
      <c r="GJ47" s="3"/>
      <c r="GK47" s="3"/>
      <c r="GL47" s="3"/>
      <c r="GM47" s="3"/>
      <c r="GN47" s="3"/>
      <c r="GO47" s="3"/>
      <c r="GP47" s="3"/>
      <c r="GQ47" s="3"/>
      <c r="GR47" s="3"/>
      <c r="GS47" s="3"/>
      <c r="GT47" s="3"/>
      <c r="GU47" s="3"/>
      <c r="GV47" s="3"/>
      <c r="GW47" s="3"/>
      <c r="GX47" s="3"/>
      <c r="GY47" s="3"/>
      <c r="GZ47" s="3"/>
      <c r="HA47" s="3"/>
      <c r="HB47" s="3"/>
      <c r="HC47" s="3"/>
      <c r="HD47" s="3"/>
      <c r="HE47" s="3"/>
      <c r="HF47" s="3"/>
      <c r="HG47" s="3"/>
      <c r="HH47" s="3"/>
      <c r="HI47" s="3"/>
      <c r="HJ47" s="3"/>
      <c r="HK47" s="3"/>
      <c r="HL47" s="3"/>
      <c r="HM47" s="3"/>
      <c r="HN47" s="3"/>
      <c r="HO47" s="3"/>
      <c r="HP47" s="3"/>
    </row>
    <row r="48" spans="1:224" ht="13.5" customHeight="1" thickBot="1" x14ac:dyDescent="0.3">
      <c r="A48" s="158">
        <v>0</v>
      </c>
      <c r="B48" s="10"/>
      <c r="C48" s="10">
        <v>4</v>
      </c>
      <c r="D48" s="76"/>
      <c r="E48" s="81" t="s">
        <v>119</v>
      </c>
      <c r="F48" s="80"/>
      <c r="G48" s="4" t="s">
        <v>119</v>
      </c>
      <c r="H48" s="4" t="s">
        <v>119</v>
      </c>
      <c r="I48" s="4" t="s">
        <v>119</v>
      </c>
      <c r="J48" s="4" t="s">
        <v>119</v>
      </c>
      <c r="K48" s="7"/>
      <c r="L48" s="7"/>
      <c r="M48" s="7"/>
      <c r="N48" s="7"/>
      <c r="O48" s="81" t="s">
        <v>119</v>
      </c>
      <c r="P48" s="4" t="s">
        <v>119</v>
      </c>
      <c r="Q48" s="4" t="s">
        <v>119</v>
      </c>
      <c r="R48" s="7"/>
      <c r="S48" s="7"/>
      <c r="T48" s="84"/>
      <c r="U48" s="6" t="s">
        <v>119</v>
      </c>
      <c r="V48" s="6" t="s">
        <v>119</v>
      </c>
      <c r="W48" s="90" t="str">
        <f>IF(ISERR(X48*$AC$1/375),"",(X48*$AC$1/375))</f>
        <v/>
      </c>
      <c r="X48" s="15" t="str">
        <f>IF(ISERR(((($AC$1)^2)*0.002558)*E48*$F$1),"",(((($AC$1)^2)*0.002558)*E48*$F$1))</f>
        <v/>
      </c>
      <c r="Y48" s="15"/>
      <c r="Z48" s="91"/>
      <c r="AA48" s="90" t="str">
        <f t="shared" si="44"/>
        <v/>
      </c>
      <c r="AB48" s="15" t="str">
        <f t="shared" si="44"/>
        <v/>
      </c>
      <c r="AC48" s="15" t="str">
        <f t="shared" si="44"/>
        <v/>
      </c>
      <c r="AD48" s="15" t="str">
        <f t="shared" si="44"/>
        <v/>
      </c>
      <c r="AE48" s="15"/>
      <c r="AF48" s="15"/>
      <c r="AG48" s="15"/>
      <c r="AH48" s="91"/>
      <c r="AI48" s="96" t="str">
        <f>IF(ISERR(AA48/X48),"",(AA48/X48))</f>
        <v/>
      </c>
      <c r="AJ48" s="97" t="str">
        <f>IF(ISERR(AB48/AA48),"",(AB48/AA48))</f>
        <v/>
      </c>
      <c r="AK48" s="139" t="str">
        <f>IF((ISERROR((Coeff!AB48+TestInfoPage!$B$6)/(Coeff!AA48+TestInfoPage!$B$5))),"",((Coeff!AB48+TestInfoPage!$B$6)/(Coeff!AA48+TestInfoPage!$B$5)))</f>
        <v/>
      </c>
      <c r="AL48" s="96"/>
      <c r="AM48" s="36"/>
      <c r="AN48" s="142"/>
      <c r="AO48" s="79" t="str">
        <f t="shared" si="34"/>
        <v/>
      </c>
      <c r="AP48" s="4" t="s">
        <v>119</v>
      </c>
      <c r="AQ48" s="4" t="s">
        <v>119</v>
      </c>
      <c r="AR48" s="4" t="s">
        <v>119</v>
      </c>
      <c r="AS48" s="4" t="s">
        <v>119</v>
      </c>
      <c r="AT48" s="7"/>
      <c r="AU48" s="7"/>
      <c r="AV48" s="7"/>
      <c r="AW48" s="80"/>
      <c r="AX48" s="81" t="s">
        <v>119</v>
      </c>
      <c r="AY48" s="4" t="s">
        <v>119</v>
      </c>
      <c r="AZ48" s="15"/>
      <c r="BA48" s="91"/>
      <c r="BB48" s="163" t="s">
        <v>119</v>
      </c>
      <c r="BC48" s="157" t="s">
        <v>119</v>
      </c>
      <c r="BD48" s="157" t="s">
        <v>119</v>
      </c>
      <c r="BE48" s="157" t="s">
        <v>119</v>
      </c>
      <c r="BF48" s="157" t="s">
        <v>119</v>
      </c>
      <c r="BG48" s="157" t="s">
        <v>119</v>
      </c>
      <c r="BH48" s="157" t="s">
        <v>119</v>
      </c>
      <c r="BI48" s="157" t="s">
        <v>119</v>
      </c>
      <c r="BJ48" s="157" t="s">
        <v>119</v>
      </c>
      <c r="BK48" s="157" t="s">
        <v>119</v>
      </c>
      <c r="BL48" s="157" t="s">
        <v>119</v>
      </c>
      <c r="BM48" s="157" t="s">
        <v>119</v>
      </c>
      <c r="BN48" s="157" t="s">
        <v>119</v>
      </c>
      <c r="BO48" s="157" t="s">
        <v>119</v>
      </c>
      <c r="BP48" s="157" t="s">
        <v>119</v>
      </c>
      <c r="BQ48" s="157" t="s">
        <v>119</v>
      </c>
      <c r="BR48" s="157" t="s">
        <v>119</v>
      </c>
      <c r="BS48" s="84" t="s">
        <v>119</v>
      </c>
      <c r="BT48" s="107"/>
      <c r="BU48" s="100"/>
      <c r="BV48" s="100"/>
      <c r="BW48" s="100"/>
      <c r="BX48" s="100"/>
      <c r="BY48" s="100"/>
      <c r="BZ48" s="100"/>
      <c r="CA48" s="100"/>
      <c r="CB48" s="100"/>
      <c r="CC48" s="100"/>
      <c r="CD48" s="100"/>
      <c r="CE48" s="100"/>
      <c r="CF48" s="100"/>
      <c r="CG48" s="100"/>
      <c r="CH48" s="100"/>
      <c r="CI48" s="100"/>
      <c r="CJ48" s="100"/>
      <c r="CK48" s="108"/>
      <c r="CL48" s="1"/>
    </row>
    <row r="49" spans="1:224" ht="14.25" thickBot="1" x14ac:dyDescent="0.3">
      <c r="A49" s="158" t="s">
        <v>132</v>
      </c>
      <c r="B49" s="9">
        <f>B44+1</f>
        <v>10</v>
      </c>
      <c r="C49" s="66" t="s">
        <v>56</v>
      </c>
      <c r="D49" s="75"/>
      <c r="E49" s="82">
        <f>IF(ISERR(AVERAGE(E50:E53)),"",AVERAGE(E50:E53))</f>
        <v>0.15924395441623879</v>
      </c>
      <c r="F49" s="78" t="str">
        <f>IF($D49="","",E49-VLOOKUP($D49,$B$4:$BS$990,4,FALSE))</f>
        <v/>
      </c>
      <c r="G49" s="44">
        <f t="shared" ref="G49:Q49" si="45">IF(ISERR(AVERAGE(G50:G53)),"",AVERAGE(G50:G53))</f>
        <v>0.34930785964122224</v>
      </c>
      <c r="H49" s="8">
        <f t="shared" si="45"/>
        <v>0.39589967519799374</v>
      </c>
      <c r="I49" s="8">
        <f t="shared" si="45"/>
        <v>-4.6591815556771526E-2</v>
      </c>
      <c r="J49" s="44">
        <f>IF(ISERR(AVERAGE(J50:J53)),"",AVERAGE(J50:J53))</f>
        <v>-1.0203524443217631E-2</v>
      </c>
      <c r="K49" s="56" t="str">
        <f>IF($D49="","",G49-VLOOKUP($D49,$B$4:$BS$990,6,FALSE))</f>
        <v/>
      </c>
      <c r="L49" s="56" t="str">
        <f>IF($D49="","",H49-VLOOKUP($D49,$B$4:$BS$990,7,FALSE))</f>
        <v/>
      </c>
      <c r="M49" s="56" t="str">
        <f>IF($D49="","",I49-VLOOKUP($D49,$B$4:$BS$990,8,FALSE))</f>
        <v/>
      </c>
      <c r="N49" s="74" t="str">
        <f>IF($D49="","",J49-VLOOKUP($D49,$B$4:$BS$990,9,FALSE))</f>
        <v/>
      </c>
      <c r="O49" s="82">
        <f t="shared" si="45"/>
        <v>0.22124574537738265</v>
      </c>
      <c r="P49" s="8">
        <f t="shared" si="45"/>
        <v>-1.604885067835253E-2</v>
      </c>
      <c r="Q49" s="8">
        <f t="shared" si="45"/>
        <v>-3.811167696848923E-2</v>
      </c>
      <c r="R49" s="56" t="str">
        <f>IF($D49="","",O49-VLOOKUP($D49,$B$4:$BS$990,14,FALSE))</f>
        <v/>
      </c>
      <c r="S49" s="56" t="str">
        <f>IF($D49="","",P49-VLOOKUP($D49,$B$4:$BS$990,15,FALSE))</f>
        <v/>
      </c>
      <c r="T49" s="78" t="str">
        <f>IF($D49="","",Q49-VLOOKUP($D49,$B$4:$BS$990,16,FALSE))</f>
        <v/>
      </c>
      <c r="U49" s="44">
        <f t="shared" ref="U49:AS49" si="46">IF(ISERR(AVERAGE(U50:U53)),"",AVERAGE(U50:U53))</f>
        <v>1.7622250488605395</v>
      </c>
      <c r="V49" s="11">
        <f t="shared" si="46"/>
        <v>0.33873881494763702</v>
      </c>
      <c r="W49" s="88">
        <f t="shared" si="46"/>
        <v>6.3647818030740433E-2</v>
      </c>
      <c r="X49" s="32">
        <f t="shared" si="46"/>
        <v>0.95471727046110644</v>
      </c>
      <c r="Y49" s="71" t="str">
        <f>IF($D49="","",W49-VLOOKUP($D49,$B$4:$BS$990,22,FALSE))</f>
        <v/>
      </c>
      <c r="Z49" s="89" t="str">
        <f>IF($D49="","",X49-VLOOKUP($D49,$B$4:$BS$990,23,FALSE))</f>
        <v/>
      </c>
      <c r="AA49" s="88">
        <f t="shared" si="46"/>
        <v>2.0942097772552648</v>
      </c>
      <c r="AB49" s="31">
        <f t="shared" si="46"/>
        <v>2.3735422714604715</v>
      </c>
      <c r="AC49" s="31">
        <f t="shared" si="46"/>
        <v>-0.27933249420520678</v>
      </c>
      <c r="AD49" s="32">
        <f>IF(ISERR(AVERAGE(AD50:AD53)),"",AVERAGE(AD50:AD53))</f>
        <v>-6.1173317638478206E-2</v>
      </c>
      <c r="AE49" s="71" t="str">
        <f>IF($D49="","",AA49-VLOOKUP($D49,$B$4:$BS$990,26,FALSE))</f>
        <v/>
      </c>
      <c r="AF49" s="71" t="str">
        <f>IF($D49="","",AB49-VLOOKUP($D49,$B$4:$BS$990,27,FALSE))</f>
        <v/>
      </c>
      <c r="AG49" s="92" t="str">
        <f>IF($D49="","",AC49-VLOOKUP($D49,$B$4:$BS$990,28,FALSE))</f>
        <v/>
      </c>
      <c r="AH49" s="89" t="str">
        <f>IF($D49="","",AD49-VLOOKUP($D49,$B$4:$BS$990,29,FALSE))</f>
        <v/>
      </c>
      <c r="AI49" s="95">
        <f t="shared" si="46"/>
        <v>2.193481159926943</v>
      </c>
      <c r="AJ49" s="35">
        <f t="shared" si="46"/>
        <v>1.1331561387414069</v>
      </c>
      <c r="AK49" s="138">
        <f>IF((ISERROR((Coeff!AB49+TestInfoPage!$B$6)/(Coeff!AA49+TestInfoPage!$B$5))),"",((Coeff!AB49+TestInfoPage!$B$6)/(Coeff!AA49+TestInfoPage!$B$5)))</f>
        <v>1.133383244237981</v>
      </c>
      <c r="AL49" s="135" t="str">
        <f>IF($D49="","",AI49-VLOOKUP($D49,$B$4:$BS$990,34,FALSE))</f>
        <v/>
      </c>
      <c r="AM49" s="72" t="str">
        <f>IF($D49="","",AJ49-VLOOKUP($D49,$B$4:$BS$990,35,FALSE))</f>
        <v/>
      </c>
      <c r="AN49" s="115" t="str">
        <f>IF($D49="","",AK49-VLOOKUP($D49,$B$4:$BS$990,36,FALSE))</f>
        <v/>
      </c>
      <c r="AO49" s="134">
        <f t="shared" si="34"/>
        <v>3.663601728360736E-2</v>
      </c>
      <c r="AP49" s="44">
        <f t="shared" si="46"/>
        <v>3.359159332199755E-2</v>
      </c>
      <c r="AQ49" s="8">
        <f t="shared" si="46"/>
        <v>5.7553305716490012E-2</v>
      </c>
      <c r="AR49" s="11" t="str">
        <f t="shared" si="46"/>
        <v/>
      </c>
      <c r="AS49" s="11">
        <f t="shared" si="46"/>
        <v>1.8763152812334531E-2</v>
      </c>
      <c r="AT49" s="56" t="e">
        <f>IF(ISERR(AP49-VLOOKUP($D49,$B$4:$BS$990,41,FALSE)),"",(AP49-VLOOKUP($D49,$B$4:$BS$990,41,FALSE)))</f>
        <v>#N/A</v>
      </c>
      <c r="AU49" s="56" t="e">
        <f>IF(ISERR(AQ49-VLOOKUP($D49,$B$4:$BS$990,42,FALSE)),"",(AQ49-VLOOKUP($D49,$B$4:$BS$990,42,FALSE)))</f>
        <v>#N/A</v>
      </c>
      <c r="AV49" s="74" t="str">
        <f>IF(ISERR(AR49-VLOOKUP($D49,$B$4:$BS$990,43,FALSE)),"",AR49-VLOOKUP($D49,$B$4:$BS$990,43,FALSE))</f>
        <v/>
      </c>
      <c r="AW49" s="74" t="e">
        <f>IF(ISERR(AS49-VLOOKUP($D49,$B$4:$BS$990,44,FALSE)),"",AS49-VLOOKUP($D49,$B$4:$BS$990,44,FALSE))</f>
        <v>#N/A</v>
      </c>
      <c r="AX49" s="82">
        <f t="shared" ref="AX49:AY49" si="47">IF(ISERR(AVERAGE(AX50:AX53)),"",AVERAGE(AX50:AX53))</f>
        <v>5.5985966358681853E-3</v>
      </c>
      <c r="AY49" s="11">
        <f t="shared" si="47"/>
        <v>2.4656377030246503E-2</v>
      </c>
      <c r="AZ49" s="89" t="e">
        <f>IF(ISERR(AX49-VLOOKUP($D49,$B$4:$BS$990,49,FALSE)),"",(AX49-VLOOKUP($D49,$B$4:$BS$990,49,FALSE)))</f>
        <v>#N/A</v>
      </c>
      <c r="BA49" s="89" t="e">
        <f>IF(ISERR(AY49-VLOOKUP($D49,$B$4:$BS$990,50,FALSE)),"",(AY49-VLOOKUP($D49,$B$4:$BS$990,50,FALSE)))</f>
        <v>#N/A</v>
      </c>
      <c r="BB49" s="82">
        <f t="shared" ref="BB49:BS49" si="48">IF(ISERR(AVERAGE(BB50:BB53)),"",AVERAGE(BB50:BB53))</f>
        <v>-8.5097567490046919E-2</v>
      </c>
      <c r="BC49" s="8">
        <f t="shared" si="48"/>
        <v>-8.1905078246854848E-2</v>
      </c>
      <c r="BD49" s="8">
        <f t="shared" si="48"/>
        <v>-8.2123029041832898E-2</v>
      </c>
      <c r="BE49" s="8">
        <f t="shared" si="48"/>
        <v>-8.6137172622725508E-2</v>
      </c>
      <c r="BF49" s="8">
        <f t="shared" si="48"/>
        <v>-8.3279037149455948E-2</v>
      </c>
      <c r="BG49" s="8">
        <f t="shared" si="48"/>
        <v>-8.2253060130094507E-2</v>
      </c>
      <c r="BH49" s="8">
        <f t="shared" si="48"/>
        <v>-8.9577992050609623E-2</v>
      </c>
      <c r="BI49" s="8">
        <f t="shared" si="48"/>
        <v>-9.5222080723771474E-2</v>
      </c>
      <c r="BJ49" s="8">
        <f t="shared" si="48"/>
        <v>-8.124327717576707E-2</v>
      </c>
      <c r="BK49" s="8">
        <f t="shared" si="48"/>
        <v>-9.2064764564119217E-2</v>
      </c>
      <c r="BL49" s="8">
        <f t="shared" si="48"/>
        <v>-8.8262471596596809E-2</v>
      </c>
      <c r="BM49" s="8">
        <f t="shared" si="48"/>
        <v>-8.6630644155063358E-2</v>
      </c>
      <c r="BN49" s="8">
        <f t="shared" si="48"/>
        <v>-8.1691115043704188E-2</v>
      </c>
      <c r="BO49" s="8">
        <f t="shared" si="48"/>
        <v>-0.10281354896699293</v>
      </c>
      <c r="BP49" s="8">
        <f t="shared" si="48"/>
        <v>-7.8507655584275388E-2</v>
      </c>
      <c r="BQ49" s="8">
        <f t="shared" si="48"/>
        <v>-8.0780420127455399E-2</v>
      </c>
      <c r="BR49" s="8">
        <f t="shared" si="48"/>
        <v>-8.3400278382337684E-2</v>
      </c>
      <c r="BS49" s="103">
        <f t="shared" si="48"/>
        <v>-8.1238136905980765E-2</v>
      </c>
      <c r="BT49" s="106" t="str">
        <f>IF($D49="","",BB49-VLOOKUP($D49,$B$4:$BS$990,53,FALSE))</f>
        <v/>
      </c>
      <c r="BU49" s="56" t="str">
        <f>IF($D49="","",BC49-VLOOKUP($D49,$B$4:$BS$990,54,FALSE))</f>
        <v/>
      </c>
      <c r="BV49" s="56" t="str">
        <f>IF($D49="","",BD49-VLOOKUP($D49,$B$4:$BS$990,55,FALSE))</f>
        <v/>
      </c>
      <c r="BW49" s="56" t="str">
        <f>IF($D49="","",BE49-VLOOKUP($D49,$B$4:$BS$990,56,FALSE))</f>
        <v/>
      </c>
      <c r="BX49" s="56" t="str">
        <f>IF($D49="","",BF49-VLOOKUP($D49,$B$4:$BS$990,57,FALSE))</f>
        <v/>
      </c>
      <c r="BY49" s="56" t="str">
        <f>IF($D49="","",BG49-VLOOKUP($D49,$B$4:$BS$990,58,FALSE))</f>
        <v/>
      </c>
      <c r="BZ49" s="56" t="str">
        <f>IF($D49="","",BH49-VLOOKUP($D49,$B$4:$BS$990,59,FALSE))</f>
        <v/>
      </c>
      <c r="CA49" s="56" t="str">
        <f>IF($D49="","",BI49-VLOOKUP($D49,$B$4:$BS$990,60,FALSE))</f>
        <v/>
      </c>
      <c r="CB49" s="56" t="str">
        <f>IF($D49="","",BJ49-VLOOKUP($D49,$B$4:$BS$990,61,FALSE))</f>
        <v/>
      </c>
      <c r="CC49" s="56" t="str">
        <f>IF($D49="","",BK49-VLOOKUP($D49,$B$4:$BS$990,62,FALSE))</f>
        <v/>
      </c>
      <c r="CD49" s="56" t="str">
        <f>IF($D49="","",BL49-VLOOKUP($D49,$B$4:$BS$990,63,FALSE))</f>
        <v/>
      </c>
      <c r="CE49" s="56" t="str">
        <f>IF($D49="","",BM49-VLOOKUP($D49,$B$4:$BS$990,64,FALSE))</f>
        <v/>
      </c>
      <c r="CF49" s="56" t="str">
        <f>IF($D49="","",BN49-VLOOKUP($D49,$B$4:$BS$990,65,FALSE))</f>
        <v/>
      </c>
      <c r="CG49" s="56" t="str">
        <f>IF($D49="","",BO49-VLOOKUP($D49,$B$4:$BS$990,66,FALSE))</f>
        <v/>
      </c>
      <c r="CH49" s="56" t="str">
        <f>IF($D49="","",BP49-VLOOKUP($D49,$B$4:$BS$990,67,FALSE))</f>
        <v/>
      </c>
      <c r="CI49" s="56" t="str">
        <f>IF($D49="","",BQ49-VLOOKUP($D49,$B$4:$BS$990,68,FALSE))</f>
        <v/>
      </c>
      <c r="CJ49" s="56" t="str">
        <f>IF($D49="","",BR49-VLOOKUP($D49,$B$4:$BS$990,69,FALSE))</f>
        <v/>
      </c>
      <c r="CK49" s="78" t="str">
        <f>IF($D49="","",BS49-VLOOKUP($D49,$B$4:$BS$990,70,FALSE))</f>
        <v/>
      </c>
      <c r="CL49" s="1"/>
      <c r="DI49" s="3"/>
      <c r="DJ49" s="3"/>
      <c r="DK49" s="3"/>
      <c r="DL49" s="3"/>
      <c r="DM49" s="3"/>
      <c r="DN49" s="3"/>
      <c r="DO49" s="3"/>
      <c r="DP49" s="3"/>
      <c r="DQ49" s="3"/>
      <c r="DR49" s="3"/>
      <c r="DS49" s="3"/>
      <c r="DT49" s="3"/>
      <c r="DU49" s="3"/>
      <c r="DV49" s="3"/>
      <c r="DW49" s="3"/>
      <c r="DX49" s="3"/>
      <c r="DY49" s="3"/>
      <c r="DZ49" s="3"/>
      <c r="EA49" s="3"/>
      <c r="EB49" s="3"/>
      <c r="EC49" s="3"/>
      <c r="ED49" s="3"/>
      <c r="EE49" s="3"/>
      <c r="EF49" s="3"/>
      <c r="EG49" s="3"/>
      <c r="EH49" s="3"/>
      <c r="EI49" s="3"/>
      <c r="EJ49" s="3"/>
      <c r="EK49" s="3"/>
      <c r="EL49" s="3"/>
      <c r="EM49" s="3"/>
      <c r="EN49" s="3"/>
      <c r="EO49" s="3"/>
      <c r="EP49" s="3"/>
      <c r="EQ49" s="3"/>
      <c r="ER49" s="3"/>
      <c r="ES49" s="3"/>
      <c r="ET49" s="3"/>
      <c r="EU49" s="3"/>
      <c r="EV49" s="3"/>
      <c r="EW49" s="3"/>
      <c r="EX49" s="3"/>
      <c r="EY49" s="3"/>
      <c r="EZ49" s="3"/>
      <c r="FA49" s="3"/>
      <c r="FB49" s="3"/>
      <c r="FC49" s="3"/>
      <c r="FD49" s="3"/>
      <c r="FE49" s="3"/>
      <c r="FF49" s="3"/>
      <c r="FG49" s="3"/>
      <c r="FH49" s="3"/>
      <c r="FI49" s="3"/>
      <c r="FJ49" s="3"/>
      <c r="FK49" s="3"/>
      <c r="FL49" s="3"/>
      <c r="FM49" s="3"/>
      <c r="FN49" s="3"/>
      <c r="FO49" s="3"/>
      <c r="FP49" s="3"/>
      <c r="FQ49" s="3"/>
      <c r="FR49" s="3"/>
      <c r="FS49" s="3"/>
      <c r="FT49" s="3"/>
      <c r="FU49" s="3"/>
      <c r="FV49" s="3"/>
      <c r="FW49" s="3"/>
      <c r="FX49" s="3"/>
      <c r="FY49" s="3"/>
      <c r="FZ49" s="3"/>
      <c r="GA49" s="3"/>
      <c r="GB49" s="3"/>
      <c r="GC49" s="3"/>
      <c r="GD49" s="3"/>
      <c r="GE49" s="3"/>
      <c r="GF49" s="3"/>
      <c r="GG49" s="3"/>
      <c r="GH49" s="3"/>
      <c r="GI49" s="3"/>
      <c r="GJ49" s="3"/>
      <c r="GK49" s="3"/>
      <c r="GL49" s="3"/>
      <c r="GM49" s="3"/>
      <c r="GN49" s="3"/>
      <c r="GO49" s="3"/>
      <c r="GP49" s="3"/>
      <c r="GQ49" s="3"/>
      <c r="GR49" s="3"/>
      <c r="GS49" s="3"/>
      <c r="GT49" s="3"/>
      <c r="GU49" s="3"/>
      <c r="GV49" s="3"/>
      <c r="GW49" s="3"/>
      <c r="GX49" s="3"/>
      <c r="GY49" s="3"/>
      <c r="GZ49" s="3"/>
      <c r="HA49" s="3"/>
      <c r="HB49" s="3"/>
      <c r="HC49" s="3"/>
      <c r="HD49" s="3"/>
      <c r="HE49" s="3"/>
      <c r="HF49" s="3"/>
      <c r="HG49" s="3"/>
      <c r="HH49" s="3"/>
      <c r="HI49" s="3"/>
      <c r="HJ49" s="3"/>
      <c r="HK49" s="3"/>
      <c r="HL49" s="3"/>
      <c r="HM49" s="3"/>
      <c r="HN49" s="3"/>
      <c r="HO49" s="3"/>
      <c r="HP49" s="3"/>
    </row>
    <row r="50" spans="1:224" x14ac:dyDescent="0.25">
      <c r="A50" s="158">
        <v>0</v>
      </c>
      <c r="B50" s="10"/>
      <c r="C50" s="10">
        <v>1</v>
      </c>
      <c r="D50" s="76"/>
      <c r="E50" s="79">
        <v>0.15982755158793299</v>
      </c>
      <c r="F50" s="80"/>
      <c r="G50" s="7">
        <v>0.35311083470629689</v>
      </c>
      <c r="H50" s="7">
        <v>0.40749557184477814</v>
      </c>
      <c r="I50" s="7">
        <v>-5.4384737138481271E-2</v>
      </c>
      <c r="J50" s="7">
        <v>-3.9184503097653776E-2</v>
      </c>
      <c r="K50" s="7"/>
      <c r="L50" s="7"/>
      <c r="M50" s="7"/>
      <c r="N50" s="7"/>
      <c r="O50" s="79">
        <v>0.23094015449162972</v>
      </c>
      <c r="P50" s="7">
        <v>1.7900917070383761E-3</v>
      </c>
      <c r="Q50" s="7">
        <v>-3.0071793120483761E-2</v>
      </c>
      <c r="R50" s="7"/>
      <c r="S50" s="7"/>
      <c r="T50" s="80"/>
      <c r="U50" s="6">
        <v>1.7607688432480355</v>
      </c>
      <c r="V50" s="6">
        <v>0.33845889986878902</v>
      </c>
      <c r="W50" s="90">
        <f>IF(ISERR(X50*$AC$1/375),"",(X50*$AC$1/375))</f>
        <v>6.3881074525301965E-2</v>
      </c>
      <c r="X50" s="15">
        <f>IF(ISERR(((($AC$1)^2)*0.002558)*E50*$F$1),"",(((($AC$1)^2)*0.002558)*E50*$F$1))</f>
        <v>0.95821611787952943</v>
      </c>
      <c r="Y50" s="15"/>
      <c r="Z50" s="91"/>
      <c r="AA50" s="90">
        <f t="shared" ref="AA50:AD53" si="49">IF(ISERR(((($AC$1)^2)*0.002558)*G50*$F$1),"",(((($AC$1)^2)*0.002558)*G50*$F$1))</f>
        <v>2.1170098012000951</v>
      </c>
      <c r="AB50" s="15">
        <f t="shared" si="49"/>
        <v>2.4430632955756462</v>
      </c>
      <c r="AC50" s="15">
        <f t="shared" si="49"/>
        <v>-0.32605349437555098</v>
      </c>
      <c r="AD50" s="15">
        <f t="shared" si="49"/>
        <v>-0.2349233412276524</v>
      </c>
      <c r="AE50" s="132"/>
      <c r="AF50" s="132"/>
      <c r="AG50" s="132"/>
      <c r="AH50" s="133"/>
      <c r="AI50" s="96">
        <f>IF(ISERR(AA50/X50),"",(AA50/X50))</f>
        <v>2.2093239319381324</v>
      </c>
      <c r="AJ50" s="36">
        <f>IF(ISERR(AB50/AA50),"",(AB50/AA50))</f>
        <v>1.1540160532987223</v>
      </c>
      <c r="AK50" s="139">
        <f>IF((ISERROR((Coeff!AB50+TestInfoPage!$B$6)/(Coeff!AA50+TestInfoPage!$B$5))),"",((Coeff!AB50+TestInfoPage!$B$6)/(Coeff!AA50+TestInfoPage!$B$5)))</f>
        <v>1.1540160532987223</v>
      </c>
      <c r="AL50" s="96"/>
      <c r="AM50" s="36"/>
      <c r="AN50" s="142"/>
      <c r="AO50" s="79">
        <f t="shared" si="34"/>
        <v>3.6838947330463334E-2</v>
      </c>
      <c r="AP50" s="4">
        <v>3.1173525842927045E-2</v>
      </c>
      <c r="AQ50" s="4">
        <v>5.1307006311345008E-2</v>
      </c>
      <c r="AR50" s="4" t="s">
        <v>119</v>
      </c>
      <c r="AS50" s="4">
        <v>2.803630983711795E-2</v>
      </c>
      <c r="AT50" s="128"/>
      <c r="AU50" s="128"/>
      <c r="AV50" s="128"/>
      <c r="AW50" s="129"/>
      <c r="AX50" s="81">
        <v>5.5985966358681853E-3</v>
      </c>
      <c r="AY50" s="4">
        <v>2.4656377030246503E-2</v>
      </c>
      <c r="AZ50" s="15"/>
      <c r="BA50" s="91"/>
      <c r="BB50" s="162">
        <v>-8.3781269362551369E-2</v>
      </c>
      <c r="BC50" s="128">
        <v>-8.325673672872215E-2</v>
      </c>
      <c r="BD50" s="128">
        <v>-8.1766799249523417E-2</v>
      </c>
      <c r="BE50" s="128">
        <v>-8.6026560980428005E-2</v>
      </c>
      <c r="BF50" s="128">
        <v>-8.2812551069889814E-2</v>
      </c>
      <c r="BG50" s="128">
        <v>-8.442135313428771E-2</v>
      </c>
      <c r="BH50" s="128">
        <v>-8.7618873210028217E-2</v>
      </c>
      <c r="BI50" s="128">
        <v>-9.4511735347688211E-2</v>
      </c>
      <c r="BJ50" s="128">
        <v>-8.5772578995218091E-2</v>
      </c>
      <c r="BK50" s="128">
        <v>-9.1882370948148856E-2</v>
      </c>
      <c r="BL50" s="128">
        <v>-8.7908193757284245E-2</v>
      </c>
      <c r="BM50" s="128">
        <v>-8.519829849816285E-2</v>
      </c>
      <c r="BN50" s="128">
        <v>-8.3210466108080597E-2</v>
      </c>
      <c r="BO50" s="128">
        <v>-0.10095335251343916</v>
      </c>
      <c r="BP50" s="128">
        <v>-7.8493417418196251E-2</v>
      </c>
      <c r="BQ50" s="128">
        <v>-8.0954178219896394E-2</v>
      </c>
      <c r="BR50" s="128">
        <v>-8.461250777103152E-2</v>
      </c>
      <c r="BS50" s="129">
        <v>-8.2214787604006051E-2</v>
      </c>
      <c r="BT50" s="107"/>
      <c r="BU50" s="100"/>
      <c r="BV50" s="100"/>
      <c r="BW50" s="100"/>
      <c r="BX50" s="100"/>
      <c r="BY50" s="100"/>
      <c r="BZ50" s="100"/>
      <c r="CA50" s="100"/>
      <c r="CB50" s="100"/>
      <c r="CC50" s="100"/>
      <c r="CD50" s="100"/>
      <c r="CE50" s="100"/>
      <c r="CF50" s="100"/>
      <c r="CG50" s="100"/>
      <c r="CH50" s="100"/>
      <c r="CI50" s="100"/>
      <c r="CJ50" s="100"/>
      <c r="CK50" s="108"/>
      <c r="CL50" s="1"/>
      <c r="DI50" s="3"/>
      <c r="DJ50" s="3"/>
      <c r="DK50" s="3"/>
      <c r="DL50" s="3"/>
      <c r="DM50" s="3"/>
      <c r="DN50" s="3"/>
      <c r="DO50" s="3"/>
      <c r="DP50" s="3"/>
      <c r="DQ50" s="3"/>
      <c r="DR50" s="3"/>
      <c r="DS50" s="3"/>
      <c r="DT50" s="3"/>
      <c r="DU50" s="3"/>
      <c r="DV50" s="3"/>
      <c r="DW50" s="3"/>
      <c r="DX50" s="3"/>
      <c r="DY50" s="3"/>
      <c r="DZ50" s="3"/>
      <c r="EA50" s="3"/>
      <c r="EB50" s="3"/>
      <c r="EC50" s="3"/>
      <c r="ED50" s="3"/>
      <c r="EE50" s="3"/>
      <c r="EF50" s="3"/>
      <c r="EG50" s="3"/>
      <c r="EH50" s="3"/>
      <c r="EI50" s="3"/>
      <c r="EJ50" s="3"/>
      <c r="EK50" s="3"/>
      <c r="EL50" s="3"/>
      <c r="EM50" s="3"/>
      <c r="EN50" s="3"/>
      <c r="EO50" s="3"/>
      <c r="EP50" s="3"/>
      <c r="EQ50" s="3"/>
      <c r="ER50" s="3"/>
      <c r="ES50" s="3"/>
      <c r="ET50" s="3"/>
      <c r="EU50" s="3"/>
      <c r="EV50" s="3"/>
      <c r="EW50" s="3"/>
      <c r="EX50" s="3"/>
      <c r="EY50" s="3"/>
      <c r="EZ50" s="3"/>
      <c r="FA50" s="3"/>
      <c r="FB50" s="3"/>
      <c r="FC50" s="3"/>
      <c r="FD50" s="3"/>
      <c r="FE50" s="3"/>
      <c r="FF50" s="3"/>
      <c r="FG50" s="3"/>
      <c r="FH50" s="3"/>
      <c r="FI50" s="3"/>
      <c r="FJ50" s="3"/>
      <c r="FK50" s="3"/>
      <c r="FL50" s="3"/>
      <c r="FM50" s="3"/>
      <c r="FN50" s="3"/>
      <c r="FO50" s="3"/>
      <c r="FP50" s="3"/>
      <c r="FQ50" s="3"/>
      <c r="FR50" s="3"/>
      <c r="FS50" s="3"/>
      <c r="FT50" s="3"/>
      <c r="FU50" s="3"/>
      <c r="FV50" s="3"/>
      <c r="FW50" s="3"/>
      <c r="FX50" s="3"/>
      <c r="FY50" s="3"/>
      <c r="FZ50" s="3"/>
      <c r="GA50" s="3"/>
      <c r="GB50" s="3"/>
      <c r="GC50" s="3"/>
      <c r="GD50" s="3"/>
      <c r="GE50" s="3"/>
      <c r="GF50" s="3"/>
      <c r="GG50" s="3"/>
      <c r="GH50" s="3"/>
      <c r="GI50" s="3"/>
      <c r="GJ50" s="3"/>
      <c r="GK50" s="3"/>
      <c r="GL50" s="3"/>
      <c r="GM50" s="3"/>
      <c r="GN50" s="3"/>
      <c r="GO50" s="3"/>
      <c r="GP50" s="3"/>
      <c r="GQ50" s="3"/>
      <c r="GR50" s="3"/>
      <c r="GS50" s="3"/>
      <c r="GT50" s="3"/>
      <c r="GU50" s="3"/>
      <c r="GV50" s="3"/>
      <c r="GW50" s="3"/>
      <c r="GX50" s="3"/>
      <c r="GY50" s="3"/>
      <c r="GZ50" s="3"/>
      <c r="HA50" s="3"/>
      <c r="HB50" s="3"/>
      <c r="HC50" s="3"/>
      <c r="HD50" s="3"/>
      <c r="HE50" s="3"/>
      <c r="HF50" s="3"/>
      <c r="HG50" s="3"/>
      <c r="HH50" s="3"/>
      <c r="HI50" s="3"/>
      <c r="HJ50" s="3"/>
      <c r="HK50" s="3"/>
      <c r="HL50" s="3"/>
      <c r="HM50" s="3"/>
      <c r="HN50" s="3"/>
      <c r="HO50" s="3"/>
      <c r="HP50" s="3"/>
    </row>
    <row r="51" spans="1:224" x14ac:dyDescent="0.25">
      <c r="A51" s="158">
        <v>0</v>
      </c>
      <c r="B51" s="10"/>
      <c r="C51" s="10">
        <v>2</v>
      </c>
      <c r="D51" s="76"/>
      <c r="E51" s="81">
        <v>0.15866035724454455</v>
      </c>
      <c r="F51" s="80"/>
      <c r="G51" s="4">
        <v>0.34550488457614759</v>
      </c>
      <c r="H51" s="4">
        <v>0.38430377855120934</v>
      </c>
      <c r="I51" s="4">
        <v>-3.8798893975061782E-2</v>
      </c>
      <c r="J51" s="4">
        <v>1.8777454211218514E-2</v>
      </c>
      <c r="K51" s="7"/>
      <c r="L51" s="7"/>
      <c r="M51" s="7"/>
      <c r="N51" s="7"/>
      <c r="O51" s="81">
        <v>0.21155133626313558</v>
      </c>
      <c r="P51" s="4">
        <v>-3.3887793063743434E-2</v>
      </c>
      <c r="Q51" s="4">
        <v>-4.6151560816494692E-2</v>
      </c>
      <c r="R51" s="7"/>
      <c r="S51" s="7"/>
      <c r="T51" s="80"/>
      <c r="U51" s="6">
        <v>1.7636812544730434</v>
      </c>
      <c r="V51" s="6">
        <v>0.33901873002648503</v>
      </c>
      <c r="W51" s="90">
        <f>IF(ISERR(X51*$AC$1/375),"",(X51*$AC$1/375))</f>
        <v>6.3414561536178901E-2</v>
      </c>
      <c r="X51" s="15">
        <f>IF(ISERR(((($AC$1)^2)*0.002558)*E51*$F$1),"",(((($AC$1)^2)*0.002558)*E51*$F$1))</f>
        <v>0.95121842304268356</v>
      </c>
      <c r="Y51" s="15"/>
      <c r="Z51" s="91"/>
      <c r="AA51" s="90">
        <f t="shared" si="49"/>
        <v>2.071409753310435</v>
      </c>
      <c r="AB51" s="15">
        <f t="shared" si="49"/>
        <v>2.3040212473452972</v>
      </c>
      <c r="AC51" s="15">
        <f t="shared" si="49"/>
        <v>-0.23261149403486256</v>
      </c>
      <c r="AD51" s="15">
        <f t="shared" si="49"/>
        <v>0.11257670595069599</v>
      </c>
      <c r="AE51" s="15"/>
      <c r="AF51" s="15"/>
      <c r="AG51" s="15"/>
      <c r="AH51" s="91"/>
      <c r="AI51" s="96">
        <f>IF(ISERR(AA51/X51),"",(AA51/X51))</f>
        <v>2.1776383879157537</v>
      </c>
      <c r="AJ51" s="97">
        <f>IF(ISERR(AB51/AA51),"",(AB51/AA51))</f>
        <v>1.1122962241840915</v>
      </c>
      <c r="AK51" s="139">
        <f>IF((ISERROR((Coeff!AB51+TestInfoPage!$B$6)/(Coeff!AA51+TestInfoPage!$B$5))),"",((Coeff!AB51+TestInfoPage!$B$6)/(Coeff!AA51+TestInfoPage!$B$5)))</f>
        <v>1.1122962241840915</v>
      </c>
      <c r="AL51" s="96"/>
      <c r="AM51" s="36"/>
      <c r="AN51" s="142"/>
      <c r="AO51" s="79">
        <f t="shared" si="34"/>
        <v>3.6433087236751392E-2</v>
      </c>
      <c r="AP51" s="4">
        <v>3.6009660801068058E-2</v>
      </c>
      <c r="AQ51" s="4">
        <v>6.3799605121635017E-2</v>
      </c>
      <c r="AR51" s="4" t="s">
        <v>119</v>
      </c>
      <c r="AS51" s="4">
        <v>9.4899957875511122E-3</v>
      </c>
      <c r="AT51" s="7"/>
      <c r="AU51" s="7"/>
      <c r="AV51" s="7"/>
      <c r="AW51" s="80"/>
      <c r="AX51" s="81" t="s">
        <v>119</v>
      </c>
      <c r="AY51" s="4" t="s">
        <v>119</v>
      </c>
      <c r="AZ51" s="15"/>
      <c r="BA51" s="91"/>
      <c r="BB51" s="79">
        <v>-8.6413865617542468E-2</v>
      </c>
      <c r="BC51" s="7">
        <v>-8.0553419764987547E-2</v>
      </c>
      <c r="BD51" s="7">
        <v>-8.247925883414238E-2</v>
      </c>
      <c r="BE51" s="7">
        <v>-8.6247784265023011E-2</v>
      </c>
      <c r="BF51" s="7">
        <v>-8.3745523229022081E-2</v>
      </c>
      <c r="BG51" s="7">
        <v>-8.0084767125901318E-2</v>
      </c>
      <c r="BH51" s="7">
        <v>-9.1537110891191015E-2</v>
      </c>
      <c r="BI51" s="7">
        <v>-9.5932426099854723E-2</v>
      </c>
      <c r="BJ51" s="7">
        <v>-7.6713975356316036E-2</v>
      </c>
      <c r="BK51" s="7">
        <v>-9.2247158180089564E-2</v>
      </c>
      <c r="BL51" s="7">
        <v>-8.8616749435909373E-2</v>
      </c>
      <c r="BM51" s="7">
        <v>-8.8062989811963879E-2</v>
      </c>
      <c r="BN51" s="7">
        <v>-8.0171763979327793E-2</v>
      </c>
      <c r="BO51" s="7">
        <v>-0.10467374542054669</v>
      </c>
      <c r="BP51" s="7">
        <v>-7.8521893750354538E-2</v>
      </c>
      <c r="BQ51" s="7">
        <v>-8.060666203501439E-2</v>
      </c>
      <c r="BR51" s="7">
        <v>-8.2188048993643861E-2</v>
      </c>
      <c r="BS51" s="80">
        <v>-8.0261486207955479E-2</v>
      </c>
      <c r="BT51" s="107"/>
      <c r="BU51" s="100"/>
      <c r="BV51" s="100"/>
      <c r="BW51" s="100"/>
      <c r="BX51" s="100"/>
      <c r="BY51" s="100"/>
      <c r="BZ51" s="100"/>
      <c r="CA51" s="100"/>
      <c r="CB51" s="100"/>
      <c r="CC51" s="100"/>
      <c r="CD51" s="100"/>
      <c r="CE51" s="100"/>
      <c r="CF51" s="100"/>
      <c r="CG51" s="100"/>
      <c r="CH51" s="100"/>
      <c r="CI51" s="100"/>
      <c r="CJ51" s="100"/>
      <c r="CK51" s="108"/>
      <c r="CL51" s="1"/>
      <c r="DI51" s="3"/>
      <c r="DJ51" s="3"/>
      <c r="DK51" s="3"/>
      <c r="DL51" s="3"/>
      <c r="DM51" s="3"/>
      <c r="DN51" s="3"/>
      <c r="DO51" s="3"/>
      <c r="DP51" s="3"/>
      <c r="DQ51" s="3"/>
      <c r="DR51" s="3"/>
      <c r="DS51" s="3"/>
      <c r="DT51" s="3"/>
      <c r="DU51" s="3"/>
      <c r="DV51" s="3"/>
      <c r="DW51" s="3"/>
      <c r="DX51" s="3"/>
      <c r="DY51" s="3"/>
      <c r="DZ51" s="3"/>
      <c r="EA51" s="3"/>
      <c r="EB51" s="3"/>
      <c r="EC51" s="3"/>
      <c r="ED51" s="3"/>
      <c r="EE51" s="3"/>
      <c r="EF51" s="3"/>
      <c r="EG51" s="3"/>
      <c r="EH51" s="3"/>
      <c r="EI51" s="3"/>
      <c r="EJ51" s="3"/>
      <c r="EK51" s="3"/>
      <c r="EL51" s="3"/>
      <c r="EM51" s="3"/>
      <c r="EN51" s="3"/>
      <c r="EO51" s="3"/>
      <c r="EP51" s="3"/>
      <c r="EQ51" s="3"/>
      <c r="ER51" s="3"/>
      <c r="ES51" s="3"/>
      <c r="ET51" s="3"/>
      <c r="EU51" s="3"/>
      <c r="EV51" s="3"/>
      <c r="EW51" s="3"/>
      <c r="EX51" s="3"/>
      <c r="EY51" s="3"/>
      <c r="EZ51" s="3"/>
      <c r="FA51" s="3"/>
      <c r="FB51" s="3"/>
      <c r="FC51" s="3"/>
      <c r="FD51" s="3"/>
      <c r="FE51" s="3"/>
      <c r="FF51" s="3"/>
      <c r="FG51" s="3"/>
      <c r="FH51" s="3"/>
      <c r="FI51" s="3"/>
      <c r="FJ51" s="3"/>
      <c r="FK51" s="3"/>
      <c r="FL51" s="3"/>
      <c r="FM51" s="3"/>
      <c r="FN51" s="3"/>
      <c r="FO51" s="3"/>
      <c r="FP51" s="3"/>
      <c r="FQ51" s="3"/>
      <c r="FR51" s="3"/>
      <c r="FS51" s="3"/>
      <c r="FT51" s="3"/>
      <c r="FU51" s="3"/>
      <c r="FV51" s="3"/>
      <c r="FW51" s="3"/>
      <c r="FX51" s="3"/>
      <c r="FY51" s="3"/>
      <c r="FZ51" s="3"/>
      <c r="GA51" s="3"/>
      <c r="GB51" s="3"/>
      <c r="GC51" s="3"/>
      <c r="GD51" s="3"/>
      <c r="GE51" s="3"/>
      <c r="GF51" s="3"/>
      <c r="GG51" s="3"/>
      <c r="GH51" s="3"/>
      <c r="GI51" s="3"/>
      <c r="GJ51" s="3"/>
      <c r="GK51" s="3"/>
      <c r="GL51" s="3"/>
      <c r="GM51" s="3"/>
      <c r="GN51" s="3"/>
      <c r="GO51" s="3"/>
      <c r="GP51" s="3"/>
      <c r="GQ51" s="3"/>
      <c r="GR51" s="3"/>
      <c r="GS51" s="3"/>
      <c r="GT51" s="3"/>
      <c r="GU51" s="3"/>
      <c r="GV51" s="3"/>
      <c r="GW51" s="3"/>
      <c r="GX51" s="3"/>
      <c r="GY51" s="3"/>
      <c r="GZ51" s="3"/>
      <c r="HA51" s="3"/>
      <c r="HB51" s="3"/>
      <c r="HC51" s="3"/>
      <c r="HD51" s="3"/>
      <c r="HE51" s="3"/>
      <c r="HF51" s="3"/>
      <c r="HG51" s="3"/>
      <c r="HH51" s="3"/>
      <c r="HI51" s="3"/>
      <c r="HJ51" s="3"/>
      <c r="HK51" s="3"/>
      <c r="HL51" s="3"/>
      <c r="HM51" s="3"/>
      <c r="HN51" s="3"/>
      <c r="HO51" s="3"/>
      <c r="HP51" s="3"/>
    </row>
    <row r="52" spans="1:224" ht="13.5" customHeight="1" x14ac:dyDescent="0.25">
      <c r="A52" s="158">
        <v>0</v>
      </c>
      <c r="B52" s="10"/>
      <c r="C52" s="10">
        <v>3</v>
      </c>
      <c r="D52" s="76"/>
      <c r="E52" s="81" t="s">
        <v>119</v>
      </c>
      <c r="F52" s="80"/>
      <c r="G52" s="4" t="s">
        <v>119</v>
      </c>
      <c r="H52" s="4" t="s">
        <v>119</v>
      </c>
      <c r="I52" s="4" t="s">
        <v>119</v>
      </c>
      <c r="J52" s="4" t="s">
        <v>119</v>
      </c>
      <c r="K52" s="7"/>
      <c r="L52" s="7"/>
      <c r="M52" s="7"/>
      <c r="N52" s="7"/>
      <c r="O52" s="81" t="s">
        <v>119</v>
      </c>
      <c r="P52" s="4" t="s">
        <v>119</v>
      </c>
      <c r="Q52" s="4" t="s">
        <v>119</v>
      </c>
      <c r="R52" s="7"/>
      <c r="S52" s="7"/>
      <c r="T52" s="80"/>
      <c r="U52" s="6" t="s">
        <v>119</v>
      </c>
      <c r="V52" s="6" t="s">
        <v>119</v>
      </c>
      <c r="W52" s="90" t="str">
        <f>IF(ISERR(X52*$AC$1/375),"",(X52*$AC$1/375))</f>
        <v/>
      </c>
      <c r="X52" s="15" t="str">
        <f>IF(ISERR(((($AC$1)^2)*0.002558)*E52*$F$1),"",(((($AC$1)^2)*0.002558)*E52*$F$1))</f>
        <v/>
      </c>
      <c r="Y52" s="15"/>
      <c r="Z52" s="91"/>
      <c r="AA52" s="90" t="str">
        <f t="shared" si="49"/>
        <v/>
      </c>
      <c r="AB52" s="15" t="str">
        <f t="shared" si="49"/>
        <v/>
      </c>
      <c r="AC52" s="15" t="str">
        <f t="shared" si="49"/>
        <v/>
      </c>
      <c r="AD52" s="15" t="str">
        <f t="shared" si="49"/>
        <v/>
      </c>
      <c r="AE52" s="15"/>
      <c r="AF52" s="15"/>
      <c r="AG52" s="15"/>
      <c r="AH52" s="91"/>
      <c r="AI52" s="96" t="str">
        <f>IF(ISERR(AA52/X52),"",(AA52/X52))</f>
        <v/>
      </c>
      <c r="AJ52" s="97" t="str">
        <f>IF(ISERR(AB52/AA52),"",(AB52/AA52))</f>
        <v/>
      </c>
      <c r="AK52" s="139" t="str">
        <f>IF((ISERROR((Coeff!AB52+TestInfoPage!$B$6)/(Coeff!AA52+TestInfoPage!$B$5))),"",((Coeff!AB52+TestInfoPage!$B$6)/(Coeff!AA52+TestInfoPage!$B$5)))</f>
        <v/>
      </c>
      <c r="AL52" s="96"/>
      <c r="AM52" s="36"/>
      <c r="AN52" s="142"/>
      <c r="AO52" s="79" t="str">
        <f t="shared" si="34"/>
        <v/>
      </c>
      <c r="AP52" s="4" t="s">
        <v>119</v>
      </c>
      <c r="AQ52" s="4" t="s">
        <v>119</v>
      </c>
      <c r="AR52" s="4" t="s">
        <v>119</v>
      </c>
      <c r="AS52" s="4" t="s">
        <v>119</v>
      </c>
      <c r="AT52" s="7"/>
      <c r="AU52" s="7"/>
      <c r="AV52" s="7"/>
      <c r="AW52" s="80"/>
      <c r="AX52" s="81" t="s">
        <v>119</v>
      </c>
      <c r="AY52" s="4" t="s">
        <v>119</v>
      </c>
      <c r="AZ52" s="15"/>
      <c r="BA52" s="91"/>
      <c r="BB52" s="79" t="s">
        <v>119</v>
      </c>
      <c r="BC52" s="7" t="s">
        <v>119</v>
      </c>
      <c r="BD52" s="7" t="s">
        <v>119</v>
      </c>
      <c r="BE52" s="7" t="s">
        <v>119</v>
      </c>
      <c r="BF52" s="7" t="s">
        <v>119</v>
      </c>
      <c r="BG52" s="7" t="s">
        <v>119</v>
      </c>
      <c r="BH52" s="7" t="s">
        <v>119</v>
      </c>
      <c r="BI52" s="7" t="s">
        <v>119</v>
      </c>
      <c r="BJ52" s="7" t="s">
        <v>119</v>
      </c>
      <c r="BK52" s="7" t="s">
        <v>119</v>
      </c>
      <c r="BL52" s="7" t="s">
        <v>119</v>
      </c>
      <c r="BM52" s="7" t="s">
        <v>119</v>
      </c>
      <c r="BN52" s="7" t="s">
        <v>119</v>
      </c>
      <c r="BO52" s="7" t="s">
        <v>119</v>
      </c>
      <c r="BP52" s="7" t="s">
        <v>119</v>
      </c>
      <c r="BQ52" s="7" t="s">
        <v>119</v>
      </c>
      <c r="BR52" s="7" t="s">
        <v>119</v>
      </c>
      <c r="BS52" s="80" t="s">
        <v>119</v>
      </c>
      <c r="BT52" s="107"/>
      <c r="BU52" s="100"/>
      <c r="BV52" s="100"/>
      <c r="BW52" s="100"/>
      <c r="BX52" s="100"/>
      <c r="BY52" s="100"/>
      <c r="BZ52" s="100"/>
      <c r="CA52" s="100"/>
      <c r="CB52" s="100"/>
      <c r="CC52" s="100"/>
      <c r="CD52" s="100"/>
      <c r="CE52" s="100"/>
      <c r="CF52" s="100"/>
      <c r="CG52" s="100"/>
      <c r="CH52" s="100"/>
      <c r="CI52" s="100"/>
      <c r="CJ52" s="100"/>
      <c r="CK52" s="108"/>
      <c r="CL52" s="1"/>
      <c r="DI52" s="3"/>
      <c r="DJ52" s="3"/>
      <c r="DK52" s="3"/>
      <c r="DL52" s="3"/>
      <c r="DM52" s="3"/>
      <c r="DN52" s="3"/>
      <c r="DO52" s="3"/>
      <c r="DP52" s="3"/>
      <c r="DQ52" s="3"/>
      <c r="DR52" s="3"/>
      <c r="DS52" s="3"/>
      <c r="DT52" s="3"/>
      <c r="DU52" s="3"/>
      <c r="DV52" s="3"/>
      <c r="DW52" s="3"/>
      <c r="DX52" s="3"/>
      <c r="DY52" s="3"/>
      <c r="DZ52" s="3"/>
      <c r="EA52" s="3"/>
      <c r="EB52" s="3"/>
      <c r="EC52" s="3"/>
      <c r="ED52" s="3"/>
      <c r="EE52" s="3"/>
      <c r="EF52" s="3"/>
      <c r="EG52" s="3"/>
      <c r="EH52" s="3"/>
      <c r="EI52" s="3"/>
      <c r="EJ52" s="3"/>
      <c r="EK52" s="3"/>
      <c r="EL52" s="3"/>
      <c r="EM52" s="3"/>
      <c r="EN52" s="3"/>
      <c r="EO52" s="3"/>
      <c r="EP52" s="3"/>
      <c r="EQ52" s="3"/>
      <c r="ER52" s="3"/>
      <c r="ES52" s="3"/>
      <c r="ET52" s="3"/>
      <c r="EU52" s="3"/>
      <c r="EV52" s="3"/>
      <c r="EW52" s="3"/>
      <c r="EX52" s="3"/>
      <c r="EY52" s="3"/>
      <c r="EZ52" s="3"/>
      <c r="FA52" s="3"/>
      <c r="FB52" s="3"/>
      <c r="FC52" s="3"/>
      <c r="FD52" s="3"/>
      <c r="FE52" s="3"/>
      <c r="FF52" s="3"/>
      <c r="FG52" s="3"/>
      <c r="FH52" s="3"/>
      <c r="FI52" s="3"/>
      <c r="FJ52" s="3"/>
      <c r="FK52" s="3"/>
      <c r="FL52" s="3"/>
      <c r="FM52" s="3"/>
      <c r="FN52" s="3"/>
      <c r="FO52" s="3"/>
      <c r="FP52" s="3"/>
      <c r="FQ52" s="3"/>
      <c r="FR52" s="3"/>
      <c r="FS52" s="3"/>
      <c r="FT52" s="3"/>
      <c r="FU52" s="3"/>
      <c r="FV52" s="3"/>
      <c r="FW52" s="3"/>
      <c r="FX52" s="3"/>
      <c r="FY52" s="3"/>
      <c r="FZ52" s="3"/>
      <c r="GA52" s="3"/>
      <c r="GB52" s="3"/>
      <c r="GC52" s="3"/>
      <c r="GD52" s="3"/>
      <c r="GE52" s="3"/>
      <c r="GF52" s="3"/>
      <c r="GG52" s="3"/>
      <c r="GH52" s="3"/>
      <c r="GI52" s="3"/>
      <c r="GJ52" s="3"/>
      <c r="GK52" s="3"/>
      <c r="GL52" s="3"/>
      <c r="GM52" s="3"/>
      <c r="GN52" s="3"/>
      <c r="GO52" s="3"/>
      <c r="GP52" s="3"/>
      <c r="GQ52" s="3"/>
      <c r="GR52" s="3"/>
      <c r="GS52" s="3"/>
      <c r="GT52" s="3"/>
      <c r="GU52" s="3"/>
      <c r="GV52" s="3"/>
      <c r="GW52" s="3"/>
      <c r="GX52" s="3"/>
      <c r="GY52" s="3"/>
      <c r="GZ52" s="3"/>
      <c r="HA52" s="3"/>
      <c r="HB52" s="3"/>
      <c r="HC52" s="3"/>
      <c r="HD52" s="3"/>
      <c r="HE52" s="3"/>
      <c r="HF52" s="3"/>
      <c r="HG52" s="3"/>
      <c r="HH52" s="3"/>
      <c r="HI52" s="3"/>
      <c r="HJ52" s="3"/>
      <c r="HK52" s="3"/>
      <c r="HL52" s="3"/>
      <c r="HM52" s="3"/>
      <c r="HN52" s="3"/>
      <c r="HO52" s="3"/>
      <c r="HP52" s="3"/>
    </row>
    <row r="53" spans="1:224" ht="13.5" customHeight="1" thickBot="1" x14ac:dyDescent="0.3">
      <c r="A53" s="158">
        <v>0</v>
      </c>
      <c r="B53" s="10"/>
      <c r="C53" s="10">
        <v>4</v>
      </c>
      <c r="D53" s="76"/>
      <c r="E53" s="81" t="s">
        <v>119</v>
      </c>
      <c r="F53" s="80"/>
      <c r="G53" s="4" t="s">
        <v>119</v>
      </c>
      <c r="H53" s="4" t="s">
        <v>119</v>
      </c>
      <c r="I53" s="4" t="s">
        <v>119</v>
      </c>
      <c r="J53" s="4" t="s">
        <v>119</v>
      </c>
      <c r="K53" s="7"/>
      <c r="L53" s="7"/>
      <c r="M53" s="7"/>
      <c r="N53" s="7"/>
      <c r="O53" s="81" t="s">
        <v>119</v>
      </c>
      <c r="P53" s="4" t="s">
        <v>119</v>
      </c>
      <c r="Q53" s="4" t="s">
        <v>119</v>
      </c>
      <c r="R53" s="7"/>
      <c r="S53" s="7"/>
      <c r="T53" s="84"/>
      <c r="U53" s="6" t="s">
        <v>119</v>
      </c>
      <c r="V53" s="6" t="s">
        <v>119</v>
      </c>
      <c r="W53" s="90" t="str">
        <f>IF(ISERR(X53*$AC$1/375),"",(X53*$AC$1/375))</f>
        <v/>
      </c>
      <c r="X53" s="15" t="str">
        <f>IF(ISERR(((($AC$1)^2)*0.002558)*E53*$F$1),"",(((($AC$1)^2)*0.002558)*E53*$F$1))</f>
        <v/>
      </c>
      <c r="Y53" s="15"/>
      <c r="Z53" s="91"/>
      <c r="AA53" s="90" t="str">
        <f t="shared" si="49"/>
        <v/>
      </c>
      <c r="AB53" s="15" t="str">
        <f t="shared" si="49"/>
        <v/>
      </c>
      <c r="AC53" s="15" t="str">
        <f t="shared" si="49"/>
        <v/>
      </c>
      <c r="AD53" s="15" t="str">
        <f t="shared" si="49"/>
        <v/>
      </c>
      <c r="AE53" s="15"/>
      <c r="AF53" s="15"/>
      <c r="AG53" s="15"/>
      <c r="AH53" s="91"/>
      <c r="AI53" s="96" t="str">
        <f>IF(ISERR(AA53/X53),"",(AA53/X53))</f>
        <v/>
      </c>
      <c r="AJ53" s="97" t="str">
        <f>IF(ISERR(AB53/AA53),"",(AB53/AA53))</f>
        <v/>
      </c>
      <c r="AK53" s="139" t="str">
        <f>IF((ISERROR((Coeff!AB53+TestInfoPage!$B$6)/(Coeff!AA53+TestInfoPage!$B$5))),"",((Coeff!AB53+TestInfoPage!$B$6)/(Coeff!AA53+TestInfoPage!$B$5)))</f>
        <v/>
      </c>
      <c r="AL53" s="96"/>
      <c r="AM53" s="36"/>
      <c r="AN53" s="142"/>
      <c r="AO53" s="79" t="str">
        <f t="shared" si="34"/>
        <v/>
      </c>
      <c r="AP53" s="4" t="s">
        <v>119</v>
      </c>
      <c r="AQ53" s="4" t="s">
        <v>119</v>
      </c>
      <c r="AR53" s="4" t="s">
        <v>119</v>
      </c>
      <c r="AS53" s="4" t="s">
        <v>119</v>
      </c>
      <c r="AT53" s="7"/>
      <c r="AU53" s="7"/>
      <c r="AV53" s="7"/>
      <c r="AW53" s="80"/>
      <c r="AX53" s="81" t="s">
        <v>119</v>
      </c>
      <c r="AY53" s="4" t="s">
        <v>119</v>
      </c>
      <c r="AZ53" s="15"/>
      <c r="BA53" s="91"/>
      <c r="BB53" s="163" t="s">
        <v>119</v>
      </c>
      <c r="BC53" s="157" t="s">
        <v>119</v>
      </c>
      <c r="BD53" s="157" t="s">
        <v>119</v>
      </c>
      <c r="BE53" s="157" t="s">
        <v>119</v>
      </c>
      <c r="BF53" s="157" t="s">
        <v>119</v>
      </c>
      <c r="BG53" s="157" t="s">
        <v>119</v>
      </c>
      <c r="BH53" s="157" t="s">
        <v>119</v>
      </c>
      <c r="BI53" s="157" t="s">
        <v>119</v>
      </c>
      <c r="BJ53" s="157" t="s">
        <v>119</v>
      </c>
      <c r="BK53" s="157" t="s">
        <v>119</v>
      </c>
      <c r="BL53" s="157" t="s">
        <v>119</v>
      </c>
      <c r="BM53" s="157" t="s">
        <v>119</v>
      </c>
      <c r="BN53" s="157" t="s">
        <v>119</v>
      </c>
      <c r="BO53" s="157" t="s">
        <v>119</v>
      </c>
      <c r="BP53" s="157" t="s">
        <v>119</v>
      </c>
      <c r="BQ53" s="157" t="s">
        <v>119</v>
      </c>
      <c r="BR53" s="157" t="s">
        <v>119</v>
      </c>
      <c r="BS53" s="84" t="s">
        <v>119</v>
      </c>
      <c r="BT53" s="107"/>
      <c r="BU53" s="100"/>
      <c r="BV53" s="100"/>
      <c r="BW53" s="100"/>
      <c r="BX53" s="100"/>
      <c r="BY53" s="100"/>
      <c r="BZ53" s="100"/>
      <c r="CA53" s="100"/>
      <c r="CB53" s="100"/>
      <c r="CC53" s="100"/>
      <c r="CD53" s="100"/>
      <c r="CE53" s="100"/>
      <c r="CF53" s="100"/>
      <c r="CG53" s="100"/>
      <c r="CH53" s="100"/>
      <c r="CI53" s="100"/>
      <c r="CJ53" s="100"/>
      <c r="CK53" s="108"/>
      <c r="CL53" s="1"/>
    </row>
    <row r="54" spans="1:224" ht="14.25" thickBot="1" x14ac:dyDescent="0.3">
      <c r="A54" s="158" t="s">
        <v>133</v>
      </c>
      <c r="B54" s="9">
        <f>B49+1</f>
        <v>11</v>
      </c>
      <c r="C54" s="66" t="s">
        <v>56</v>
      </c>
      <c r="D54" s="75"/>
      <c r="E54" s="82">
        <f>IF(ISERR(AVERAGE(E55:E58)),"",AVERAGE(E55:E58))</f>
        <v>0.16242486089065011</v>
      </c>
      <c r="F54" s="78" t="str">
        <f>IF($D54="","",E54-VLOOKUP($D54,$B$4:$BS$990,4,FALSE))</f>
        <v/>
      </c>
      <c r="G54" s="44">
        <f t="shared" ref="G54:Q54" si="50">IF(ISERR(AVERAGE(G55:G58)),"",AVERAGE(G55:G58))</f>
        <v>0.34907219634837705</v>
      </c>
      <c r="H54" s="8">
        <f t="shared" si="50"/>
        <v>0.47591674736147482</v>
      </c>
      <c r="I54" s="8">
        <f t="shared" si="50"/>
        <v>-0.12684455101309772</v>
      </c>
      <c r="J54" s="44">
        <f>IF(ISERR(AVERAGE(J55:J58)),"",AVERAGE(J55:J58))</f>
        <v>-8.1718939104077071E-3</v>
      </c>
      <c r="K54" s="56" t="str">
        <f>IF($D54="","",G54-VLOOKUP($D54,$B$4:$BS$990,6,FALSE))</f>
        <v/>
      </c>
      <c r="L54" s="56" t="str">
        <f>IF($D54="","",H54-VLOOKUP($D54,$B$4:$BS$990,7,FALSE))</f>
        <v/>
      </c>
      <c r="M54" s="56" t="str">
        <f>IF($D54="","",I54-VLOOKUP($D54,$B$4:$BS$990,8,FALSE))</f>
        <v/>
      </c>
      <c r="N54" s="74" t="str">
        <f>IF($D54="","",J54-VLOOKUP($D54,$B$4:$BS$990,9,FALSE))</f>
        <v/>
      </c>
      <c r="O54" s="82">
        <f t="shared" si="50"/>
        <v>0.30138064918728624</v>
      </c>
      <c r="P54" s="8">
        <f t="shared" si="50"/>
        <v>3.6842519182437514E-3</v>
      </c>
      <c r="Q54" s="8">
        <f t="shared" si="50"/>
        <v>4.0960492944533931E-4</v>
      </c>
      <c r="R54" s="56" t="str">
        <f>IF($D54="","",O54-VLOOKUP($D54,$B$4:$BS$990,14,FALSE))</f>
        <v/>
      </c>
      <c r="S54" s="56" t="str">
        <f>IF($D54="","",P54-VLOOKUP($D54,$B$4:$BS$990,15,FALSE))</f>
        <v/>
      </c>
      <c r="T54" s="78" t="str">
        <f>IF($D54="","",Q54-VLOOKUP($D54,$B$4:$BS$990,16,FALSE))</f>
        <v/>
      </c>
      <c r="U54" s="44">
        <f t="shared" ref="U54:AS54" si="51">IF(ISERR(AVERAGE(U55:U58)),"",AVERAGE(U55:U58))</f>
        <v>1.7612462377561569</v>
      </c>
      <c r="V54" s="11">
        <f t="shared" si="51"/>
        <v>0.33855066570201675</v>
      </c>
      <c r="W54" s="88">
        <f t="shared" si="51"/>
        <v>6.4919186587231711E-2</v>
      </c>
      <c r="X54" s="32">
        <f t="shared" si="51"/>
        <v>0.97378779880847566</v>
      </c>
      <c r="Y54" s="71" t="str">
        <f>IF($D54="","",W54-VLOOKUP($D54,$B$4:$BS$990,22,FALSE))</f>
        <v/>
      </c>
      <c r="Z54" s="89" t="str">
        <f>IF($D54="","",X54-VLOOKUP($D54,$B$4:$BS$990,23,FALSE))</f>
        <v/>
      </c>
      <c r="AA54" s="88">
        <f t="shared" si="51"/>
        <v>2.0927969021698791</v>
      </c>
      <c r="AB54" s="31">
        <f t="shared" si="51"/>
        <v>2.8532696244155913</v>
      </c>
      <c r="AC54" s="31">
        <f t="shared" si="51"/>
        <v>-0.76047272224571227</v>
      </c>
      <c r="AD54" s="32">
        <f>IF(ISERR(AVERAGE(AD55:AD58)),"",AVERAGE(AD55:AD58))</f>
        <v>-4.8993057709741203E-2</v>
      </c>
      <c r="AE54" s="71" t="str">
        <f>IF($D54="","",AA54-VLOOKUP($D54,$B$4:$BS$990,26,FALSE))</f>
        <v/>
      </c>
      <c r="AF54" s="71" t="str">
        <f>IF($D54="","",AB54-VLOOKUP($D54,$B$4:$BS$990,27,FALSE))</f>
        <v/>
      </c>
      <c r="AG54" s="92" t="str">
        <f>IF($D54="","",AC54-VLOOKUP($D54,$B$4:$BS$990,28,FALSE))</f>
        <v/>
      </c>
      <c r="AH54" s="89" t="str">
        <f>IF($D54="","",AD54-VLOOKUP($D54,$B$4:$BS$990,29,FALSE))</f>
        <v/>
      </c>
      <c r="AI54" s="95">
        <f t="shared" si="51"/>
        <v>2.1493864070701036</v>
      </c>
      <c r="AJ54" s="35">
        <f t="shared" si="51"/>
        <v>1.3666548323060566</v>
      </c>
      <c r="AK54" s="138">
        <f>IF((ISERROR((Coeff!AB54+TestInfoPage!$B$6)/(Coeff!AA54+TestInfoPage!$B$5))),"",((Coeff!AB54+TestInfoPage!$B$6)/(Coeff!AA54+TestInfoPage!$B$5)))</f>
        <v>1.3633762652540387</v>
      </c>
      <c r="AL54" s="135" t="str">
        <f>IF($D54="","",AI54-VLOOKUP($D54,$B$4:$BS$990,34,FALSE))</f>
        <v/>
      </c>
      <c r="AM54" s="72" t="str">
        <f>IF($D54="","",AJ54-VLOOKUP($D54,$B$4:$BS$990,35,FALSE))</f>
        <v/>
      </c>
      <c r="AN54" s="115" t="str">
        <f>IF($D54="","",AK54-VLOOKUP($D54,$B$4:$BS$990,36,FALSE))</f>
        <v/>
      </c>
      <c r="AO54" s="134">
        <f t="shared" si="34"/>
        <v>4.619124535849687E-2</v>
      </c>
      <c r="AP54" s="44">
        <f t="shared" si="51"/>
        <v>3.8112960052944025E-2</v>
      </c>
      <c r="AQ54" s="8">
        <f t="shared" si="51"/>
        <v>5.4269530664049714E-2</v>
      </c>
      <c r="AR54" s="11" t="str">
        <f t="shared" si="51"/>
        <v/>
      </c>
      <c r="AS54" s="11" t="str">
        <f t="shared" si="51"/>
        <v/>
      </c>
      <c r="AT54" s="56" t="e">
        <f>IF(ISERR(AP54-VLOOKUP($D54,$B$4:$BS$990,41,FALSE)),"",(AP54-VLOOKUP($D54,$B$4:$BS$990,41,FALSE)))</f>
        <v>#N/A</v>
      </c>
      <c r="AU54" s="56" t="e">
        <f>IF(ISERR(AQ54-VLOOKUP($D54,$B$4:$BS$990,42,FALSE)),"",(AQ54-VLOOKUP($D54,$B$4:$BS$990,42,FALSE)))</f>
        <v>#N/A</v>
      </c>
      <c r="AV54" s="74" t="str">
        <f>IF(ISERR(AR54-VLOOKUP($D54,$B$4:$BS$990,43,FALSE)),"",AR54-VLOOKUP($D54,$B$4:$BS$990,43,FALSE))</f>
        <v/>
      </c>
      <c r="AW54" s="74" t="str">
        <f>IF(ISERR(AS54-VLOOKUP($D54,$B$4:$BS$990,44,FALSE)),"",AS54-VLOOKUP($D54,$B$4:$BS$990,44,FALSE))</f>
        <v/>
      </c>
      <c r="AX54" s="82" t="str">
        <f t="shared" ref="AX54:AY54" si="52">IF(ISERR(AVERAGE(AX55:AX58)),"",AVERAGE(AX55:AX58))</f>
        <v/>
      </c>
      <c r="AY54" s="11" t="str">
        <f t="shared" si="52"/>
        <v/>
      </c>
      <c r="AZ54" s="89" t="str">
        <f>IF(ISERR(AX54-VLOOKUP($D54,$B$4:$BS$990,49,FALSE)),"",(AX54-VLOOKUP($D54,$B$4:$BS$990,49,FALSE)))</f>
        <v/>
      </c>
      <c r="BA54" s="89" t="str">
        <f>IF(ISERR(AY54-VLOOKUP($D54,$B$4:$BS$990,50,FALSE)),"",(AY54-VLOOKUP($D54,$B$4:$BS$990,50,FALSE)))</f>
        <v/>
      </c>
      <c r="BB54" s="82">
        <f t="shared" ref="BB54:BS54" si="53">IF(ISERR(AVERAGE(BB55:BB58)),"",AVERAGE(BB55:BB58))</f>
        <v>-8.5280759891685362E-2</v>
      </c>
      <c r="BC54" s="8">
        <f t="shared" si="53"/>
        <v>-8.5432050205939386E-2</v>
      </c>
      <c r="BD54" s="8">
        <f t="shared" si="53"/>
        <v>-8.4300057430760619E-2</v>
      </c>
      <c r="BE54" s="8">
        <f t="shared" si="53"/>
        <v>-8.4791377087438141E-2</v>
      </c>
      <c r="BF54" s="8">
        <f t="shared" si="53"/>
        <v>-8.3477850562787337E-2</v>
      </c>
      <c r="BG54" s="8">
        <f t="shared" si="53"/>
        <v>-7.9512153795710402E-2</v>
      </c>
      <c r="BH54" s="8">
        <f t="shared" si="53"/>
        <v>-9.3937338369341067E-2</v>
      </c>
      <c r="BI54" s="8">
        <f t="shared" si="53"/>
        <v>-8.3623534292376372E-2</v>
      </c>
      <c r="BJ54" s="8">
        <f t="shared" si="53"/>
        <v>-8.1682392628538242E-2</v>
      </c>
      <c r="BK54" s="8">
        <f t="shared" si="53"/>
        <v>-8.8573822435511068E-2</v>
      </c>
      <c r="BL54" s="8">
        <f t="shared" si="53"/>
        <v>-8.4127624496080827E-2</v>
      </c>
      <c r="BM54" s="8">
        <f t="shared" si="53"/>
        <v>-8.0157143727943997E-2</v>
      </c>
      <c r="BN54" s="8">
        <f t="shared" si="53"/>
        <v>-7.878420826487946E-2</v>
      </c>
      <c r="BO54" s="8">
        <f t="shared" si="53"/>
        <v>-9.422322170362768E-2</v>
      </c>
      <c r="BP54" s="8">
        <f t="shared" si="53"/>
        <v>-9.3647207519654593E-2</v>
      </c>
      <c r="BQ54" s="8">
        <f t="shared" si="53"/>
        <v>-8.6731333685220569E-2</v>
      </c>
      <c r="BR54" s="8">
        <f t="shared" si="53"/>
        <v>-8.2919364496690309E-2</v>
      </c>
      <c r="BS54" s="103">
        <f t="shared" si="53"/>
        <v>-5.522283875301251E-2</v>
      </c>
      <c r="BT54" s="106" t="str">
        <f>IF($D54="","",BB54-VLOOKUP($D54,$B$4:$BS$990,53,FALSE))</f>
        <v/>
      </c>
      <c r="BU54" s="56" t="str">
        <f>IF($D54="","",BC54-VLOOKUP($D54,$B$4:$BS$990,54,FALSE))</f>
        <v/>
      </c>
      <c r="BV54" s="56" t="str">
        <f>IF($D54="","",BD54-VLOOKUP($D54,$B$4:$BS$990,55,FALSE))</f>
        <v/>
      </c>
      <c r="BW54" s="56" t="str">
        <f>IF($D54="","",BE54-VLOOKUP($D54,$B$4:$BS$990,56,FALSE))</f>
        <v/>
      </c>
      <c r="BX54" s="56" t="str">
        <f>IF($D54="","",BF54-VLOOKUP($D54,$B$4:$BS$990,57,FALSE))</f>
        <v/>
      </c>
      <c r="BY54" s="56" t="str">
        <f>IF($D54="","",BG54-VLOOKUP($D54,$B$4:$BS$990,58,FALSE))</f>
        <v/>
      </c>
      <c r="BZ54" s="56" t="str">
        <f>IF($D54="","",BH54-VLOOKUP($D54,$B$4:$BS$990,59,FALSE))</f>
        <v/>
      </c>
      <c r="CA54" s="56" t="str">
        <f>IF($D54="","",BI54-VLOOKUP($D54,$B$4:$BS$990,60,FALSE))</f>
        <v/>
      </c>
      <c r="CB54" s="56" t="str">
        <f>IF($D54="","",BJ54-VLOOKUP($D54,$B$4:$BS$990,61,FALSE))</f>
        <v/>
      </c>
      <c r="CC54" s="56" t="str">
        <f>IF($D54="","",BK54-VLOOKUP($D54,$B$4:$BS$990,62,FALSE))</f>
        <v/>
      </c>
      <c r="CD54" s="56" t="str">
        <f>IF($D54="","",BL54-VLOOKUP($D54,$B$4:$BS$990,63,FALSE))</f>
        <v/>
      </c>
      <c r="CE54" s="56" t="str">
        <f>IF($D54="","",BM54-VLOOKUP($D54,$B$4:$BS$990,64,FALSE))</f>
        <v/>
      </c>
      <c r="CF54" s="56" t="str">
        <f>IF($D54="","",BN54-VLOOKUP($D54,$B$4:$BS$990,65,FALSE))</f>
        <v/>
      </c>
      <c r="CG54" s="56" t="str">
        <f>IF($D54="","",BO54-VLOOKUP($D54,$B$4:$BS$990,66,FALSE))</f>
        <v/>
      </c>
      <c r="CH54" s="56" t="str">
        <f>IF($D54="","",BP54-VLOOKUP($D54,$B$4:$BS$990,67,FALSE))</f>
        <v/>
      </c>
      <c r="CI54" s="56" t="str">
        <f>IF($D54="","",BQ54-VLOOKUP($D54,$B$4:$BS$990,68,FALSE))</f>
        <v/>
      </c>
      <c r="CJ54" s="56" t="str">
        <f>IF($D54="","",BR54-VLOOKUP($D54,$B$4:$BS$990,69,FALSE))</f>
        <v/>
      </c>
      <c r="CK54" s="78" t="str">
        <f>IF($D54="","",BS54-VLOOKUP($D54,$B$4:$BS$990,70,FALSE))</f>
        <v/>
      </c>
      <c r="CL54" s="1"/>
      <c r="DI54" s="3"/>
      <c r="DJ54" s="3"/>
      <c r="DK54" s="3"/>
      <c r="DL54" s="3"/>
      <c r="DM54" s="3"/>
      <c r="DN54" s="3"/>
      <c r="DO54" s="3"/>
      <c r="DP54" s="3"/>
      <c r="DQ54" s="3"/>
      <c r="DR54" s="3"/>
      <c r="DS54" s="3"/>
      <c r="DT54" s="3"/>
      <c r="DU54" s="3"/>
      <c r="DV54" s="3"/>
      <c r="DW54" s="3"/>
      <c r="DX54" s="3"/>
      <c r="DY54" s="3"/>
      <c r="DZ54" s="3"/>
      <c r="EA54" s="3"/>
      <c r="EB54" s="3"/>
      <c r="EC54" s="3"/>
      <c r="ED54" s="3"/>
      <c r="EE54" s="3"/>
      <c r="EF54" s="3"/>
      <c r="EG54" s="3"/>
      <c r="EH54" s="3"/>
      <c r="EI54" s="3"/>
      <c r="EJ54" s="3"/>
      <c r="EK54" s="3"/>
      <c r="EL54" s="3"/>
      <c r="EM54" s="3"/>
      <c r="EN54" s="3"/>
      <c r="EO54" s="3"/>
      <c r="EP54" s="3"/>
      <c r="EQ54" s="3"/>
      <c r="ER54" s="3"/>
      <c r="ES54" s="3"/>
      <c r="ET54" s="3"/>
      <c r="EU54" s="3"/>
      <c r="EV54" s="3"/>
      <c r="EW54" s="3"/>
      <c r="EX54" s="3"/>
      <c r="EY54" s="3"/>
      <c r="EZ54" s="3"/>
      <c r="FA54" s="3"/>
      <c r="FB54" s="3"/>
      <c r="FC54" s="3"/>
      <c r="FD54" s="3"/>
      <c r="FE54" s="3"/>
      <c r="FF54" s="3"/>
      <c r="FG54" s="3"/>
      <c r="FH54" s="3"/>
      <c r="FI54" s="3"/>
      <c r="FJ54" s="3"/>
      <c r="FK54" s="3"/>
      <c r="FL54" s="3"/>
      <c r="FM54" s="3"/>
      <c r="FN54" s="3"/>
      <c r="FO54" s="3"/>
      <c r="FP54" s="3"/>
      <c r="FQ54" s="3"/>
      <c r="FR54" s="3"/>
      <c r="FS54" s="3"/>
      <c r="FT54" s="3"/>
      <c r="FU54" s="3"/>
      <c r="FV54" s="3"/>
      <c r="FW54" s="3"/>
      <c r="FX54" s="3"/>
      <c r="FY54" s="3"/>
      <c r="FZ54" s="3"/>
      <c r="GA54" s="3"/>
      <c r="GB54" s="3"/>
      <c r="GC54" s="3"/>
      <c r="GD54" s="3"/>
      <c r="GE54" s="3"/>
      <c r="GF54" s="3"/>
      <c r="GG54" s="3"/>
      <c r="GH54" s="3"/>
      <c r="GI54" s="3"/>
      <c r="GJ54" s="3"/>
      <c r="GK54" s="3"/>
      <c r="GL54" s="3"/>
      <c r="GM54" s="3"/>
      <c r="GN54" s="3"/>
      <c r="GO54" s="3"/>
      <c r="GP54" s="3"/>
      <c r="GQ54" s="3"/>
      <c r="GR54" s="3"/>
      <c r="GS54" s="3"/>
      <c r="GT54" s="3"/>
      <c r="GU54" s="3"/>
      <c r="GV54" s="3"/>
      <c r="GW54" s="3"/>
      <c r="GX54" s="3"/>
      <c r="GY54" s="3"/>
      <c r="GZ54" s="3"/>
      <c r="HA54" s="3"/>
      <c r="HB54" s="3"/>
      <c r="HC54" s="3"/>
      <c r="HD54" s="3"/>
      <c r="HE54" s="3"/>
      <c r="HF54" s="3"/>
      <c r="HG54" s="3"/>
      <c r="HH54" s="3"/>
      <c r="HI54" s="3"/>
      <c r="HJ54" s="3"/>
      <c r="HK54" s="3"/>
      <c r="HL54" s="3"/>
      <c r="HM54" s="3"/>
      <c r="HN54" s="3"/>
      <c r="HO54" s="3"/>
      <c r="HP54" s="3"/>
    </row>
    <row r="55" spans="1:224" x14ac:dyDescent="0.25">
      <c r="A55" s="158">
        <v>0</v>
      </c>
      <c r="B55" s="10"/>
      <c r="C55" s="10">
        <v>1</v>
      </c>
      <c r="D55" s="76"/>
      <c r="E55" s="79">
        <v>0.16206878271813369</v>
      </c>
      <c r="F55" s="80"/>
      <c r="G55" s="7">
        <v>0.36727893249705973</v>
      </c>
      <c r="H55" s="7">
        <v>0.47885675410849826</v>
      </c>
      <c r="I55" s="7">
        <v>-0.1115778216114385</v>
      </c>
      <c r="J55" s="7">
        <v>3.0929892513395247E-3</v>
      </c>
      <c r="K55" s="7"/>
      <c r="L55" s="7"/>
      <c r="M55" s="7"/>
      <c r="N55" s="7"/>
      <c r="O55" s="79">
        <v>0.29521728785996837</v>
      </c>
      <c r="P55" s="7">
        <v>-3.025223443624095E-3</v>
      </c>
      <c r="Q55" s="7">
        <v>1.689820416464631E-2</v>
      </c>
      <c r="R55" s="7"/>
      <c r="S55" s="7"/>
      <c r="T55" s="80"/>
      <c r="U55" s="6">
        <v>1.7636182463129368</v>
      </c>
      <c r="V55" s="6">
        <v>0.33900661845793117</v>
      </c>
      <c r="W55" s="90">
        <f>IF(ISERR(X55*$AC$1/375),"",(X55*$AC$1/375))</f>
        <v>6.4776866592654053E-2</v>
      </c>
      <c r="X55" s="15">
        <f>IF(ISERR(((($AC$1)^2)*0.002558)*E55*$F$1),"",(((($AC$1)^2)*0.002558)*E55*$F$1))</f>
        <v>0.97165299888981083</v>
      </c>
      <c r="Y55" s="15"/>
      <c r="Z55" s="91"/>
      <c r="AA55" s="90">
        <f t="shared" ref="AA55:AD58" si="54">IF(ISERR(((($AC$1)^2)*0.002558)*G55*$F$1),"",(((($AC$1)^2)*0.002558)*G55*$F$1))</f>
        <v>2.2019519749862781</v>
      </c>
      <c r="AB55" s="15">
        <f t="shared" si="54"/>
        <v>2.8708958836161056</v>
      </c>
      <c r="AC55" s="15">
        <f t="shared" si="54"/>
        <v>-0.66894390862982733</v>
      </c>
      <c r="AD55" s="15">
        <f t="shared" si="54"/>
        <v>1.8543437120921494E-2</v>
      </c>
      <c r="AE55" s="132"/>
      <c r="AF55" s="132"/>
      <c r="AG55" s="132"/>
      <c r="AH55" s="133"/>
      <c r="AI55" s="96">
        <f>IF(ISERR(AA55/X55),"",(AA55/X55))</f>
        <v>2.2661917140194903</v>
      </c>
      <c r="AJ55" s="36">
        <f>IF(ISERR(AB55/AA55),"",(AB55/AA55))</f>
        <v>1.3037958666805147</v>
      </c>
      <c r="AK55" s="139">
        <f>IF((ISERROR((Coeff!AB55+TestInfoPage!$B$6)/(Coeff!AA55+TestInfoPage!$B$5))),"",((Coeff!AB55+TestInfoPage!$B$6)/(Coeff!AA55+TestInfoPage!$B$5)))</f>
        <v>1.3037958666805147</v>
      </c>
      <c r="AL55" s="96"/>
      <c r="AM55" s="36"/>
      <c r="AN55" s="142"/>
      <c r="AO55" s="79">
        <f t="shared" si="34"/>
        <v>4.2796908364253212E-2</v>
      </c>
      <c r="AP55" s="4">
        <v>4.1038635312998707E-2</v>
      </c>
      <c r="AQ55" s="4">
        <v>4.4555181415507718E-2</v>
      </c>
      <c r="AR55" s="4" t="s">
        <v>119</v>
      </c>
      <c r="AS55" s="4" t="s">
        <v>119</v>
      </c>
      <c r="AT55" s="128"/>
      <c r="AU55" s="128"/>
      <c r="AV55" s="128"/>
      <c r="AW55" s="129"/>
      <c r="AX55" s="81" t="s">
        <v>119</v>
      </c>
      <c r="AY55" s="4" t="s">
        <v>119</v>
      </c>
      <c r="AZ55" s="15"/>
      <c r="BA55" s="91"/>
      <c r="BB55" s="162">
        <v>-8.5759213575653984E-2</v>
      </c>
      <c r="BC55" s="128">
        <v>-8.7222323536246538E-2</v>
      </c>
      <c r="BD55" s="128">
        <v>-8.3561936149946447E-2</v>
      </c>
      <c r="BE55" s="128">
        <v>-8.310509801643666E-2</v>
      </c>
      <c r="BF55" s="128">
        <v>-8.4114898317173087E-2</v>
      </c>
      <c r="BG55" s="128">
        <v>-7.6350286911271298E-2</v>
      </c>
      <c r="BH55" s="128">
        <v>-9.2461756570692763E-2</v>
      </c>
      <c r="BI55" s="128">
        <v>-7.9080355866549684E-2</v>
      </c>
      <c r="BJ55" s="128">
        <v>-8.3777361724718863E-2</v>
      </c>
      <c r="BK55" s="128">
        <v>-8.4853839132118566E-2</v>
      </c>
      <c r="BL55" s="128">
        <v>-8.4320887911745496E-2</v>
      </c>
      <c r="BM55" s="128">
        <v>-7.6570296041531288E-2</v>
      </c>
      <c r="BN55" s="128">
        <v>-8.0259632161813171E-2</v>
      </c>
      <c r="BO55" s="128">
        <v>-9.2477051530785073E-2</v>
      </c>
      <c r="BP55" s="128">
        <v>-9.4733607066839365E-2</v>
      </c>
      <c r="BQ55" s="128">
        <v>-8.3697327906943189E-2</v>
      </c>
      <c r="BR55" s="128">
        <v>-7.7867434368713087E-2</v>
      </c>
      <c r="BS55" s="129">
        <v>-4.7495155605409956E-2</v>
      </c>
      <c r="BT55" s="107"/>
      <c r="BU55" s="100"/>
      <c r="BV55" s="100"/>
      <c r="BW55" s="100"/>
      <c r="BX55" s="100"/>
      <c r="BY55" s="100"/>
      <c r="BZ55" s="100"/>
      <c r="CA55" s="100"/>
      <c r="CB55" s="100"/>
      <c r="CC55" s="100"/>
      <c r="CD55" s="100"/>
      <c r="CE55" s="100"/>
      <c r="CF55" s="100"/>
      <c r="CG55" s="100"/>
      <c r="CH55" s="100"/>
      <c r="CI55" s="100"/>
      <c r="CJ55" s="100"/>
      <c r="CK55" s="108"/>
      <c r="CL55" s="1"/>
      <c r="DI55" s="3"/>
      <c r="DJ55" s="3"/>
      <c r="DK55" s="3"/>
      <c r="DL55" s="3"/>
      <c r="DM55" s="3"/>
      <c r="DN55" s="3"/>
      <c r="DO55" s="3"/>
      <c r="DP55" s="3"/>
      <c r="DQ55" s="3"/>
      <c r="DR55" s="3"/>
      <c r="DS55" s="3"/>
      <c r="DT55" s="3"/>
      <c r="DU55" s="3"/>
      <c r="DV55" s="3"/>
      <c r="DW55" s="3"/>
      <c r="DX55" s="3"/>
      <c r="DY55" s="3"/>
      <c r="DZ55" s="3"/>
      <c r="EA55" s="3"/>
      <c r="EB55" s="3"/>
      <c r="EC55" s="3"/>
      <c r="ED55" s="3"/>
      <c r="EE55" s="3"/>
      <c r="EF55" s="3"/>
      <c r="EG55" s="3"/>
      <c r="EH55" s="3"/>
      <c r="EI55" s="3"/>
      <c r="EJ55" s="3"/>
      <c r="EK55" s="3"/>
      <c r="EL55" s="3"/>
      <c r="EM55" s="3"/>
      <c r="EN55" s="3"/>
      <c r="EO55" s="3"/>
      <c r="EP55" s="3"/>
      <c r="EQ55" s="3"/>
      <c r="ER55" s="3"/>
      <c r="ES55" s="3"/>
      <c r="ET55" s="3"/>
      <c r="EU55" s="3"/>
      <c r="EV55" s="3"/>
      <c r="EW55" s="3"/>
      <c r="EX55" s="3"/>
      <c r="EY55" s="3"/>
      <c r="EZ55" s="3"/>
      <c r="FA55" s="3"/>
      <c r="FB55" s="3"/>
      <c r="FC55" s="3"/>
      <c r="FD55" s="3"/>
      <c r="FE55" s="3"/>
      <c r="FF55" s="3"/>
      <c r="FG55" s="3"/>
      <c r="FH55" s="3"/>
      <c r="FI55" s="3"/>
      <c r="FJ55" s="3"/>
      <c r="FK55" s="3"/>
      <c r="FL55" s="3"/>
      <c r="FM55" s="3"/>
      <c r="FN55" s="3"/>
      <c r="FO55" s="3"/>
      <c r="FP55" s="3"/>
      <c r="FQ55" s="3"/>
      <c r="FR55" s="3"/>
      <c r="FS55" s="3"/>
      <c r="FT55" s="3"/>
      <c r="FU55" s="3"/>
      <c r="FV55" s="3"/>
      <c r="FW55" s="3"/>
      <c r="FX55" s="3"/>
      <c r="FY55" s="3"/>
      <c r="FZ55" s="3"/>
      <c r="GA55" s="3"/>
      <c r="GB55" s="3"/>
      <c r="GC55" s="3"/>
      <c r="GD55" s="3"/>
      <c r="GE55" s="3"/>
      <c r="GF55" s="3"/>
      <c r="GG55" s="3"/>
      <c r="GH55" s="3"/>
      <c r="GI55" s="3"/>
      <c r="GJ55" s="3"/>
      <c r="GK55" s="3"/>
      <c r="GL55" s="3"/>
      <c r="GM55" s="3"/>
      <c r="GN55" s="3"/>
      <c r="GO55" s="3"/>
      <c r="GP55" s="3"/>
      <c r="GQ55" s="3"/>
      <c r="GR55" s="3"/>
      <c r="GS55" s="3"/>
      <c r="GT55" s="3"/>
      <c r="GU55" s="3"/>
      <c r="GV55" s="3"/>
      <c r="GW55" s="3"/>
      <c r="GX55" s="3"/>
      <c r="GY55" s="3"/>
      <c r="GZ55" s="3"/>
      <c r="HA55" s="3"/>
      <c r="HB55" s="3"/>
      <c r="HC55" s="3"/>
      <c r="HD55" s="3"/>
      <c r="HE55" s="3"/>
      <c r="HF55" s="3"/>
      <c r="HG55" s="3"/>
      <c r="HH55" s="3"/>
      <c r="HI55" s="3"/>
      <c r="HJ55" s="3"/>
      <c r="HK55" s="3"/>
      <c r="HL55" s="3"/>
      <c r="HM55" s="3"/>
      <c r="HN55" s="3"/>
      <c r="HO55" s="3"/>
      <c r="HP55" s="3"/>
    </row>
    <row r="56" spans="1:224" x14ac:dyDescent="0.25">
      <c r="A56" s="158">
        <v>0</v>
      </c>
      <c r="B56" s="10"/>
      <c r="C56" s="10">
        <v>2</v>
      </c>
      <c r="D56" s="76"/>
      <c r="E56" s="81">
        <v>0.16278093906316654</v>
      </c>
      <c r="F56" s="80"/>
      <c r="G56" s="4">
        <v>0.33086546019969443</v>
      </c>
      <c r="H56" s="4">
        <v>0.47297674061445133</v>
      </c>
      <c r="I56" s="4">
        <v>-0.1421112804147569</v>
      </c>
      <c r="J56" s="4">
        <v>-1.9436777072154937E-2</v>
      </c>
      <c r="K56" s="7"/>
      <c r="L56" s="7"/>
      <c r="M56" s="7"/>
      <c r="N56" s="7"/>
      <c r="O56" s="81">
        <v>0.30754401051460412</v>
      </c>
      <c r="P56" s="4">
        <v>1.0393727280111597E-2</v>
      </c>
      <c r="Q56" s="4">
        <v>-1.6078994305755632E-2</v>
      </c>
      <c r="R56" s="7"/>
      <c r="S56" s="7"/>
      <c r="T56" s="80"/>
      <c r="U56" s="6">
        <v>1.7588742291993766</v>
      </c>
      <c r="V56" s="6">
        <v>0.33809471294610238</v>
      </c>
      <c r="W56" s="90">
        <f>IF(ISERR(X56*$AC$1/375),"",(X56*$AC$1/375))</f>
        <v>6.506150658180937E-2</v>
      </c>
      <c r="X56" s="15">
        <f>IF(ISERR(((($AC$1)^2)*0.002558)*E56*$F$1),"",(((($AC$1)^2)*0.002558)*E56*$F$1))</f>
        <v>0.97592259872714049</v>
      </c>
      <c r="Y56" s="15"/>
      <c r="Z56" s="91"/>
      <c r="AA56" s="90">
        <f t="shared" si="54"/>
        <v>1.9836418293534805</v>
      </c>
      <c r="AB56" s="15">
        <f t="shared" si="54"/>
        <v>2.8356433652150774</v>
      </c>
      <c r="AC56" s="15">
        <f t="shared" si="54"/>
        <v>-0.85200153586159721</v>
      </c>
      <c r="AD56" s="15">
        <f t="shared" si="54"/>
        <v>-0.1165295525404039</v>
      </c>
      <c r="AE56" s="15"/>
      <c r="AF56" s="15"/>
      <c r="AG56" s="15"/>
      <c r="AH56" s="91"/>
      <c r="AI56" s="96">
        <f>IF(ISERR(AA56/X56),"",(AA56/X56))</f>
        <v>2.0325811001207175</v>
      </c>
      <c r="AJ56" s="97">
        <f>IF(ISERR(AB56/AA56),"",(AB56/AA56))</f>
        <v>1.4295137979315984</v>
      </c>
      <c r="AK56" s="139">
        <f>IF((ISERROR((Coeff!AB56+TestInfoPage!$B$6)/(Coeff!AA56+TestInfoPage!$B$5))),"",((Coeff!AB56+TestInfoPage!$B$6)/(Coeff!AA56+TestInfoPage!$B$5)))</f>
        <v>1.4295137979315984</v>
      </c>
      <c r="AL56" s="96"/>
      <c r="AM56" s="36"/>
      <c r="AN56" s="142"/>
      <c r="AO56" s="79">
        <f t="shared" si="34"/>
        <v>4.9585582352740527E-2</v>
      </c>
      <c r="AP56" s="4">
        <v>3.5187284792889351E-2</v>
      </c>
      <c r="AQ56" s="4">
        <v>6.3983879912591704E-2</v>
      </c>
      <c r="AR56" s="4" t="s">
        <v>119</v>
      </c>
      <c r="AS56" s="4" t="s">
        <v>119</v>
      </c>
      <c r="AT56" s="7"/>
      <c r="AU56" s="7"/>
      <c r="AV56" s="7"/>
      <c r="AW56" s="80"/>
      <c r="AX56" s="81" t="s">
        <v>119</v>
      </c>
      <c r="AY56" s="4" t="s">
        <v>119</v>
      </c>
      <c r="AZ56" s="15"/>
      <c r="BA56" s="91"/>
      <c r="BB56" s="79">
        <v>-8.4802306207716741E-2</v>
      </c>
      <c r="BC56" s="7">
        <v>-8.3641776875632248E-2</v>
      </c>
      <c r="BD56" s="7">
        <v>-8.5038178711574791E-2</v>
      </c>
      <c r="BE56" s="7">
        <v>-8.6477656158439636E-2</v>
      </c>
      <c r="BF56" s="7">
        <v>-8.2840802808401587E-2</v>
      </c>
      <c r="BG56" s="7">
        <v>-8.2674020680149507E-2</v>
      </c>
      <c r="BH56" s="7">
        <v>-9.5412920167989385E-2</v>
      </c>
      <c r="BI56" s="7">
        <v>-8.8166712718203075E-2</v>
      </c>
      <c r="BJ56" s="7">
        <v>-7.9587423532357607E-2</v>
      </c>
      <c r="BK56" s="7">
        <v>-9.2293805738903584E-2</v>
      </c>
      <c r="BL56" s="7">
        <v>-8.3934361080416173E-2</v>
      </c>
      <c r="BM56" s="7">
        <v>-8.3743991414356692E-2</v>
      </c>
      <c r="BN56" s="7">
        <v>-7.7308784367945749E-2</v>
      </c>
      <c r="BO56" s="7">
        <v>-9.59693918764703E-2</v>
      </c>
      <c r="BP56" s="7">
        <v>-9.2560807972469822E-2</v>
      </c>
      <c r="BQ56" s="7">
        <v>-8.9765339463497934E-2</v>
      </c>
      <c r="BR56" s="7">
        <v>-8.7971294624667531E-2</v>
      </c>
      <c r="BS56" s="80">
        <v>-6.2950521900615064E-2</v>
      </c>
      <c r="BT56" s="107"/>
      <c r="BU56" s="100"/>
      <c r="BV56" s="100"/>
      <c r="BW56" s="100"/>
      <c r="BX56" s="100"/>
      <c r="BY56" s="100"/>
      <c r="BZ56" s="100"/>
      <c r="CA56" s="100"/>
      <c r="CB56" s="100"/>
      <c r="CC56" s="100"/>
      <c r="CD56" s="100"/>
      <c r="CE56" s="100"/>
      <c r="CF56" s="100"/>
      <c r="CG56" s="100"/>
      <c r="CH56" s="100"/>
      <c r="CI56" s="100"/>
      <c r="CJ56" s="100"/>
      <c r="CK56" s="108"/>
      <c r="CL56" s="1"/>
      <c r="DI56" s="3"/>
      <c r="DJ56" s="3"/>
      <c r="DK56" s="3"/>
      <c r="DL56" s="3"/>
      <c r="DM56" s="3"/>
      <c r="DN56" s="3"/>
      <c r="DO56" s="3"/>
      <c r="DP56" s="3"/>
      <c r="DQ56" s="3"/>
      <c r="DR56" s="3"/>
      <c r="DS56" s="3"/>
      <c r="DT56" s="3"/>
      <c r="DU56" s="3"/>
      <c r="DV56" s="3"/>
      <c r="DW56" s="3"/>
      <c r="DX56" s="3"/>
      <c r="DY56" s="3"/>
      <c r="DZ56" s="3"/>
      <c r="EA56" s="3"/>
      <c r="EB56" s="3"/>
      <c r="EC56" s="3"/>
      <c r="ED56" s="3"/>
      <c r="EE56" s="3"/>
      <c r="EF56" s="3"/>
      <c r="EG56" s="3"/>
      <c r="EH56" s="3"/>
      <c r="EI56" s="3"/>
      <c r="EJ56" s="3"/>
      <c r="EK56" s="3"/>
      <c r="EL56" s="3"/>
      <c r="EM56" s="3"/>
      <c r="EN56" s="3"/>
      <c r="EO56" s="3"/>
      <c r="EP56" s="3"/>
      <c r="EQ56" s="3"/>
      <c r="ER56" s="3"/>
      <c r="ES56" s="3"/>
      <c r="ET56" s="3"/>
      <c r="EU56" s="3"/>
      <c r="EV56" s="3"/>
      <c r="EW56" s="3"/>
      <c r="EX56" s="3"/>
      <c r="EY56" s="3"/>
      <c r="EZ56" s="3"/>
      <c r="FA56" s="3"/>
      <c r="FB56" s="3"/>
      <c r="FC56" s="3"/>
      <c r="FD56" s="3"/>
      <c r="FE56" s="3"/>
      <c r="FF56" s="3"/>
      <c r="FG56" s="3"/>
      <c r="FH56" s="3"/>
      <c r="FI56" s="3"/>
      <c r="FJ56" s="3"/>
      <c r="FK56" s="3"/>
      <c r="FL56" s="3"/>
      <c r="FM56" s="3"/>
      <c r="FN56" s="3"/>
      <c r="FO56" s="3"/>
      <c r="FP56" s="3"/>
      <c r="FQ56" s="3"/>
      <c r="FR56" s="3"/>
      <c r="FS56" s="3"/>
      <c r="FT56" s="3"/>
      <c r="FU56" s="3"/>
      <c r="FV56" s="3"/>
      <c r="FW56" s="3"/>
      <c r="FX56" s="3"/>
      <c r="FY56" s="3"/>
      <c r="FZ56" s="3"/>
      <c r="GA56" s="3"/>
      <c r="GB56" s="3"/>
      <c r="GC56" s="3"/>
      <c r="GD56" s="3"/>
      <c r="GE56" s="3"/>
      <c r="GF56" s="3"/>
      <c r="GG56" s="3"/>
      <c r="GH56" s="3"/>
      <c r="GI56" s="3"/>
      <c r="GJ56" s="3"/>
      <c r="GK56" s="3"/>
      <c r="GL56" s="3"/>
      <c r="GM56" s="3"/>
      <c r="GN56" s="3"/>
      <c r="GO56" s="3"/>
      <c r="GP56" s="3"/>
      <c r="GQ56" s="3"/>
      <c r="GR56" s="3"/>
      <c r="GS56" s="3"/>
      <c r="GT56" s="3"/>
      <c r="GU56" s="3"/>
      <c r="GV56" s="3"/>
      <c r="GW56" s="3"/>
      <c r="GX56" s="3"/>
      <c r="GY56" s="3"/>
      <c r="GZ56" s="3"/>
      <c r="HA56" s="3"/>
      <c r="HB56" s="3"/>
      <c r="HC56" s="3"/>
      <c r="HD56" s="3"/>
      <c r="HE56" s="3"/>
      <c r="HF56" s="3"/>
      <c r="HG56" s="3"/>
      <c r="HH56" s="3"/>
      <c r="HI56" s="3"/>
      <c r="HJ56" s="3"/>
      <c r="HK56" s="3"/>
      <c r="HL56" s="3"/>
      <c r="HM56" s="3"/>
      <c r="HN56" s="3"/>
      <c r="HO56" s="3"/>
      <c r="HP56" s="3"/>
    </row>
    <row r="57" spans="1:224" ht="13.5" customHeight="1" x14ac:dyDescent="0.25">
      <c r="A57" s="158">
        <v>0</v>
      </c>
      <c r="B57" s="10"/>
      <c r="C57" s="10">
        <v>3</v>
      </c>
      <c r="D57" s="76"/>
      <c r="E57" s="81" t="s">
        <v>119</v>
      </c>
      <c r="F57" s="80"/>
      <c r="G57" s="4" t="s">
        <v>119</v>
      </c>
      <c r="H57" s="4" t="s">
        <v>119</v>
      </c>
      <c r="I57" s="4" t="s">
        <v>119</v>
      </c>
      <c r="J57" s="4" t="s">
        <v>119</v>
      </c>
      <c r="K57" s="7"/>
      <c r="L57" s="7"/>
      <c r="M57" s="7"/>
      <c r="N57" s="7"/>
      <c r="O57" s="81" t="s">
        <v>119</v>
      </c>
      <c r="P57" s="4" t="s">
        <v>119</v>
      </c>
      <c r="Q57" s="4" t="s">
        <v>119</v>
      </c>
      <c r="R57" s="7"/>
      <c r="S57" s="7"/>
      <c r="T57" s="80"/>
      <c r="U57" s="6" t="s">
        <v>119</v>
      </c>
      <c r="V57" s="6" t="s">
        <v>119</v>
      </c>
      <c r="W57" s="90" t="str">
        <f>IF(ISERR(X57*$AC$1/375),"",(X57*$AC$1/375))</f>
        <v/>
      </c>
      <c r="X57" s="15" t="str">
        <f>IF(ISERR(((($AC$1)^2)*0.002558)*E57*$F$1),"",(((($AC$1)^2)*0.002558)*E57*$F$1))</f>
        <v/>
      </c>
      <c r="Y57" s="15"/>
      <c r="Z57" s="91"/>
      <c r="AA57" s="90" t="str">
        <f t="shared" si="54"/>
        <v/>
      </c>
      <c r="AB57" s="15" t="str">
        <f t="shared" si="54"/>
        <v/>
      </c>
      <c r="AC57" s="15" t="str">
        <f t="shared" si="54"/>
        <v/>
      </c>
      <c r="AD57" s="15" t="str">
        <f t="shared" si="54"/>
        <v/>
      </c>
      <c r="AE57" s="15"/>
      <c r="AF57" s="15"/>
      <c r="AG57" s="15"/>
      <c r="AH57" s="91"/>
      <c r="AI57" s="96" t="str">
        <f>IF(ISERR(AA57/X57),"",(AA57/X57))</f>
        <v/>
      </c>
      <c r="AJ57" s="97" t="str">
        <f>IF(ISERR(AB57/AA57),"",(AB57/AA57))</f>
        <v/>
      </c>
      <c r="AK57" s="139" t="str">
        <f>IF((ISERROR((Coeff!AB57+TestInfoPage!$B$6)/(Coeff!AA57+TestInfoPage!$B$5))),"",((Coeff!AB57+TestInfoPage!$B$6)/(Coeff!AA57+TestInfoPage!$B$5)))</f>
        <v/>
      </c>
      <c r="AL57" s="96"/>
      <c r="AM57" s="36"/>
      <c r="AN57" s="142"/>
      <c r="AO57" s="79" t="str">
        <f t="shared" si="34"/>
        <v/>
      </c>
      <c r="AP57" s="4" t="s">
        <v>119</v>
      </c>
      <c r="AQ57" s="4" t="s">
        <v>119</v>
      </c>
      <c r="AR57" s="4" t="s">
        <v>119</v>
      </c>
      <c r="AS57" s="4" t="s">
        <v>119</v>
      </c>
      <c r="AT57" s="7"/>
      <c r="AU57" s="7"/>
      <c r="AV57" s="7"/>
      <c r="AW57" s="80"/>
      <c r="AX57" s="81" t="s">
        <v>119</v>
      </c>
      <c r="AY57" s="4" t="s">
        <v>119</v>
      </c>
      <c r="AZ57" s="15"/>
      <c r="BA57" s="91"/>
      <c r="BB57" s="79" t="s">
        <v>119</v>
      </c>
      <c r="BC57" s="7" t="s">
        <v>119</v>
      </c>
      <c r="BD57" s="7" t="s">
        <v>119</v>
      </c>
      <c r="BE57" s="7" t="s">
        <v>119</v>
      </c>
      <c r="BF57" s="7" t="s">
        <v>119</v>
      </c>
      <c r="BG57" s="7" t="s">
        <v>119</v>
      </c>
      <c r="BH57" s="7" t="s">
        <v>119</v>
      </c>
      <c r="BI57" s="7" t="s">
        <v>119</v>
      </c>
      <c r="BJ57" s="7" t="s">
        <v>119</v>
      </c>
      <c r="BK57" s="7" t="s">
        <v>119</v>
      </c>
      <c r="BL57" s="7" t="s">
        <v>119</v>
      </c>
      <c r="BM57" s="7" t="s">
        <v>119</v>
      </c>
      <c r="BN57" s="7" t="s">
        <v>119</v>
      </c>
      <c r="BO57" s="7" t="s">
        <v>119</v>
      </c>
      <c r="BP57" s="7" t="s">
        <v>119</v>
      </c>
      <c r="BQ57" s="7" t="s">
        <v>119</v>
      </c>
      <c r="BR57" s="7" t="s">
        <v>119</v>
      </c>
      <c r="BS57" s="80" t="s">
        <v>119</v>
      </c>
      <c r="BT57" s="107"/>
      <c r="BU57" s="100"/>
      <c r="BV57" s="100"/>
      <c r="BW57" s="100"/>
      <c r="BX57" s="100"/>
      <c r="BY57" s="100"/>
      <c r="BZ57" s="100"/>
      <c r="CA57" s="100"/>
      <c r="CB57" s="100"/>
      <c r="CC57" s="100"/>
      <c r="CD57" s="100"/>
      <c r="CE57" s="100"/>
      <c r="CF57" s="100"/>
      <c r="CG57" s="100"/>
      <c r="CH57" s="100"/>
      <c r="CI57" s="100"/>
      <c r="CJ57" s="100"/>
      <c r="CK57" s="108"/>
      <c r="CL57" s="1"/>
      <c r="DI57" s="3"/>
      <c r="DJ57" s="3"/>
      <c r="DK57" s="3"/>
      <c r="DL57" s="3"/>
      <c r="DM57" s="3"/>
      <c r="DN57" s="3"/>
      <c r="DO57" s="3"/>
      <c r="DP57" s="3"/>
      <c r="DQ57" s="3"/>
      <c r="DR57" s="3"/>
      <c r="DS57" s="3"/>
      <c r="DT57" s="3"/>
      <c r="DU57" s="3"/>
      <c r="DV57" s="3"/>
      <c r="DW57" s="3"/>
      <c r="DX57" s="3"/>
      <c r="DY57" s="3"/>
      <c r="DZ57" s="3"/>
      <c r="EA57" s="3"/>
      <c r="EB57" s="3"/>
      <c r="EC57" s="3"/>
      <c r="ED57" s="3"/>
      <c r="EE57" s="3"/>
      <c r="EF57" s="3"/>
      <c r="EG57" s="3"/>
      <c r="EH57" s="3"/>
      <c r="EI57" s="3"/>
      <c r="EJ57" s="3"/>
      <c r="EK57" s="3"/>
      <c r="EL57" s="3"/>
      <c r="EM57" s="3"/>
      <c r="EN57" s="3"/>
      <c r="EO57" s="3"/>
      <c r="EP57" s="3"/>
      <c r="EQ57" s="3"/>
      <c r="ER57" s="3"/>
      <c r="ES57" s="3"/>
      <c r="ET57" s="3"/>
      <c r="EU57" s="3"/>
      <c r="EV57" s="3"/>
      <c r="EW57" s="3"/>
      <c r="EX57" s="3"/>
      <c r="EY57" s="3"/>
      <c r="EZ57" s="3"/>
      <c r="FA57" s="3"/>
      <c r="FB57" s="3"/>
      <c r="FC57" s="3"/>
      <c r="FD57" s="3"/>
      <c r="FE57" s="3"/>
      <c r="FF57" s="3"/>
      <c r="FG57" s="3"/>
      <c r="FH57" s="3"/>
      <c r="FI57" s="3"/>
      <c r="FJ57" s="3"/>
      <c r="FK57" s="3"/>
      <c r="FL57" s="3"/>
      <c r="FM57" s="3"/>
      <c r="FN57" s="3"/>
      <c r="FO57" s="3"/>
      <c r="FP57" s="3"/>
      <c r="FQ57" s="3"/>
      <c r="FR57" s="3"/>
      <c r="FS57" s="3"/>
      <c r="FT57" s="3"/>
      <c r="FU57" s="3"/>
      <c r="FV57" s="3"/>
      <c r="FW57" s="3"/>
      <c r="FX57" s="3"/>
      <c r="FY57" s="3"/>
      <c r="FZ57" s="3"/>
      <c r="GA57" s="3"/>
      <c r="GB57" s="3"/>
      <c r="GC57" s="3"/>
      <c r="GD57" s="3"/>
      <c r="GE57" s="3"/>
      <c r="GF57" s="3"/>
      <c r="GG57" s="3"/>
      <c r="GH57" s="3"/>
      <c r="GI57" s="3"/>
      <c r="GJ57" s="3"/>
      <c r="GK57" s="3"/>
      <c r="GL57" s="3"/>
      <c r="GM57" s="3"/>
      <c r="GN57" s="3"/>
      <c r="GO57" s="3"/>
      <c r="GP57" s="3"/>
      <c r="GQ57" s="3"/>
      <c r="GR57" s="3"/>
      <c r="GS57" s="3"/>
      <c r="GT57" s="3"/>
      <c r="GU57" s="3"/>
      <c r="GV57" s="3"/>
      <c r="GW57" s="3"/>
      <c r="GX57" s="3"/>
      <c r="GY57" s="3"/>
      <c r="GZ57" s="3"/>
      <c r="HA57" s="3"/>
      <c r="HB57" s="3"/>
      <c r="HC57" s="3"/>
      <c r="HD57" s="3"/>
      <c r="HE57" s="3"/>
      <c r="HF57" s="3"/>
      <c r="HG57" s="3"/>
      <c r="HH57" s="3"/>
      <c r="HI57" s="3"/>
      <c r="HJ57" s="3"/>
      <c r="HK57" s="3"/>
      <c r="HL57" s="3"/>
      <c r="HM57" s="3"/>
      <c r="HN57" s="3"/>
      <c r="HO57" s="3"/>
      <c r="HP57" s="3"/>
    </row>
    <row r="58" spans="1:224" ht="13.5" customHeight="1" thickBot="1" x14ac:dyDescent="0.3">
      <c r="A58" s="158">
        <v>0</v>
      </c>
      <c r="B58" s="10"/>
      <c r="C58" s="10">
        <v>4</v>
      </c>
      <c r="D58" s="76"/>
      <c r="E58" s="81" t="s">
        <v>119</v>
      </c>
      <c r="F58" s="80"/>
      <c r="G58" s="4" t="s">
        <v>119</v>
      </c>
      <c r="H58" s="4" t="s">
        <v>119</v>
      </c>
      <c r="I58" s="4" t="s">
        <v>119</v>
      </c>
      <c r="J58" s="4" t="s">
        <v>119</v>
      </c>
      <c r="K58" s="7"/>
      <c r="L58" s="7"/>
      <c r="M58" s="7"/>
      <c r="N58" s="7"/>
      <c r="O58" s="81" t="s">
        <v>119</v>
      </c>
      <c r="P58" s="4" t="s">
        <v>119</v>
      </c>
      <c r="Q58" s="4" t="s">
        <v>119</v>
      </c>
      <c r="R58" s="7"/>
      <c r="S58" s="7"/>
      <c r="T58" s="84"/>
      <c r="U58" s="6" t="s">
        <v>119</v>
      </c>
      <c r="V58" s="6" t="s">
        <v>119</v>
      </c>
      <c r="W58" s="90" t="str">
        <f>IF(ISERR(X58*$AC$1/375),"",(X58*$AC$1/375))</f>
        <v/>
      </c>
      <c r="X58" s="15" t="str">
        <f>IF(ISERR(((($AC$1)^2)*0.002558)*E58*$F$1),"",(((($AC$1)^2)*0.002558)*E58*$F$1))</f>
        <v/>
      </c>
      <c r="Y58" s="15"/>
      <c r="Z58" s="91"/>
      <c r="AA58" s="90" t="str">
        <f t="shared" si="54"/>
        <v/>
      </c>
      <c r="AB58" s="15" t="str">
        <f t="shared" si="54"/>
        <v/>
      </c>
      <c r="AC58" s="15" t="str">
        <f t="shared" si="54"/>
        <v/>
      </c>
      <c r="AD58" s="15" t="str">
        <f t="shared" si="54"/>
        <v/>
      </c>
      <c r="AE58" s="15"/>
      <c r="AF58" s="15"/>
      <c r="AG58" s="15"/>
      <c r="AH58" s="91"/>
      <c r="AI58" s="96" t="str">
        <f>IF(ISERR(AA58/X58),"",(AA58/X58))</f>
        <v/>
      </c>
      <c r="AJ58" s="97" t="str">
        <f>IF(ISERR(AB58/AA58),"",(AB58/AA58))</f>
        <v/>
      </c>
      <c r="AK58" s="139" t="str">
        <f>IF((ISERROR((Coeff!AB58+TestInfoPage!$B$6)/(Coeff!AA58+TestInfoPage!$B$5))),"",((Coeff!AB58+TestInfoPage!$B$6)/(Coeff!AA58+TestInfoPage!$B$5)))</f>
        <v/>
      </c>
      <c r="AL58" s="96"/>
      <c r="AM58" s="36"/>
      <c r="AN58" s="142"/>
      <c r="AO58" s="79" t="str">
        <f t="shared" si="34"/>
        <v/>
      </c>
      <c r="AP58" s="4" t="s">
        <v>119</v>
      </c>
      <c r="AQ58" s="4" t="s">
        <v>119</v>
      </c>
      <c r="AR58" s="4" t="s">
        <v>119</v>
      </c>
      <c r="AS58" s="4" t="s">
        <v>119</v>
      </c>
      <c r="AT58" s="7"/>
      <c r="AU58" s="7"/>
      <c r="AV58" s="7"/>
      <c r="AW58" s="80"/>
      <c r="AX58" s="81" t="s">
        <v>119</v>
      </c>
      <c r="AY58" s="4" t="s">
        <v>119</v>
      </c>
      <c r="AZ58" s="15"/>
      <c r="BA58" s="91"/>
      <c r="BB58" s="163" t="s">
        <v>119</v>
      </c>
      <c r="BC58" s="157" t="s">
        <v>119</v>
      </c>
      <c r="BD58" s="157" t="s">
        <v>119</v>
      </c>
      <c r="BE58" s="157" t="s">
        <v>119</v>
      </c>
      <c r="BF58" s="157" t="s">
        <v>119</v>
      </c>
      <c r="BG58" s="157" t="s">
        <v>119</v>
      </c>
      <c r="BH58" s="157" t="s">
        <v>119</v>
      </c>
      <c r="BI58" s="157" t="s">
        <v>119</v>
      </c>
      <c r="BJ58" s="157" t="s">
        <v>119</v>
      </c>
      <c r="BK58" s="157" t="s">
        <v>119</v>
      </c>
      <c r="BL58" s="157" t="s">
        <v>119</v>
      </c>
      <c r="BM58" s="157" t="s">
        <v>119</v>
      </c>
      <c r="BN58" s="157" t="s">
        <v>119</v>
      </c>
      <c r="BO58" s="157" t="s">
        <v>119</v>
      </c>
      <c r="BP58" s="157" t="s">
        <v>119</v>
      </c>
      <c r="BQ58" s="157" t="s">
        <v>119</v>
      </c>
      <c r="BR58" s="157" t="s">
        <v>119</v>
      </c>
      <c r="BS58" s="84" t="s">
        <v>119</v>
      </c>
      <c r="BT58" s="107"/>
      <c r="BU58" s="100"/>
      <c r="BV58" s="100"/>
      <c r="BW58" s="100"/>
      <c r="BX58" s="100"/>
      <c r="BY58" s="100"/>
      <c r="BZ58" s="100"/>
      <c r="CA58" s="100"/>
      <c r="CB58" s="100"/>
      <c r="CC58" s="100"/>
      <c r="CD58" s="100"/>
      <c r="CE58" s="100"/>
      <c r="CF58" s="100"/>
      <c r="CG58" s="100"/>
      <c r="CH58" s="100"/>
      <c r="CI58" s="100"/>
      <c r="CJ58" s="100"/>
      <c r="CK58" s="108"/>
      <c r="CL58" s="1"/>
    </row>
    <row r="59" spans="1:224" ht="14.25" thickBot="1" x14ac:dyDescent="0.3">
      <c r="A59" s="158" t="s">
        <v>134</v>
      </c>
      <c r="B59" s="9">
        <f>B54+1</f>
        <v>12</v>
      </c>
      <c r="C59" s="66" t="s">
        <v>56</v>
      </c>
      <c r="D59" s="75"/>
      <c r="E59" s="82">
        <f>IF(ISERR(AVERAGE(E60:E63)),"",AVERAGE(E60:E63))</f>
        <v>0.23295971117463063</v>
      </c>
      <c r="F59" s="78" t="str">
        <f>IF($D59="","",E59-VLOOKUP($D59,$B$4:$BS$990,4,FALSE))</f>
        <v/>
      </c>
      <c r="G59" s="44">
        <f t="shared" ref="G59:Q59" si="55">IF(ISERR(AVERAGE(G60:G63)),"",AVERAGE(G60:G63))</f>
        <v>0.5616490622544168</v>
      </c>
      <c r="H59" s="8">
        <f t="shared" si="55"/>
        <v>0.66804291560717877</v>
      </c>
      <c r="I59" s="8">
        <f t="shared" si="55"/>
        <v>-0.10639385335276202</v>
      </c>
      <c r="J59" s="44">
        <f>IF(ISERR(AVERAGE(J60:J63)),"",AVERAGE(J60:J63))</f>
        <v>-5.1922200833497932E-2</v>
      </c>
      <c r="K59" s="56" t="str">
        <f>IF($D59="","",G59-VLOOKUP($D59,$B$4:$BS$990,6,FALSE))</f>
        <v/>
      </c>
      <c r="L59" s="56" t="str">
        <f>IF($D59="","",H59-VLOOKUP($D59,$B$4:$BS$990,7,FALSE))</f>
        <v/>
      </c>
      <c r="M59" s="56" t="str">
        <f>IF($D59="","",I59-VLOOKUP($D59,$B$4:$BS$990,8,FALSE))</f>
        <v/>
      </c>
      <c r="N59" s="74" t="str">
        <f>IF($D59="","",J59-VLOOKUP($D59,$B$4:$BS$990,9,FALSE))</f>
        <v/>
      </c>
      <c r="O59" s="82">
        <f t="shared" si="55"/>
        <v>0.38721838447997042</v>
      </c>
      <c r="P59" s="8">
        <f t="shared" si="55"/>
        <v>-7.7616073930776505E-2</v>
      </c>
      <c r="Q59" s="8">
        <f t="shared" si="55"/>
        <v>2.0302844676168538E-2</v>
      </c>
      <c r="R59" s="56" t="str">
        <f>IF($D59="","",O59-VLOOKUP($D59,$B$4:$BS$990,14,FALSE))</f>
        <v/>
      </c>
      <c r="S59" s="56" t="str">
        <f>IF($D59="","",P59-VLOOKUP($D59,$B$4:$BS$990,15,FALSE))</f>
        <v/>
      </c>
      <c r="T59" s="78" t="str">
        <f>IF($D59="","",Q59-VLOOKUP($D59,$B$4:$BS$990,16,FALSE))</f>
        <v/>
      </c>
      <c r="U59" s="44">
        <f t="shared" ref="U59:AS59" si="56">IF(ISERR(AVERAGE(U60:U63)),"",AVERAGE(U60:U63))</f>
        <v>1.7544186631220831</v>
      </c>
      <c r="V59" s="11">
        <f t="shared" si="56"/>
        <v>0.33723825413346709</v>
      </c>
      <c r="W59" s="88">
        <f t="shared" si="56"/>
        <v>9.3111084560110177E-2</v>
      </c>
      <c r="X59" s="32">
        <f t="shared" si="56"/>
        <v>1.3966662684016526</v>
      </c>
      <c r="Y59" s="71" t="str">
        <f>IF($D59="","",W59-VLOOKUP($D59,$B$4:$BS$990,22,FALSE))</f>
        <v/>
      </c>
      <c r="Z59" s="89" t="str">
        <f>IF($D59="","",X59-VLOOKUP($D59,$B$4:$BS$990,23,FALSE))</f>
        <v/>
      </c>
      <c r="AA59" s="88">
        <f t="shared" si="56"/>
        <v>3.3672616435471832</v>
      </c>
      <c r="AB59" s="31">
        <f t="shared" si="56"/>
        <v>4.0051260424761637</v>
      </c>
      <c r="AC59" s="31">
        <f t="shared" si="56"/>
        <v>-0.63786439892898106</v>
      </c>
      <c r="AD59" s="32">
        <f>IF(ISERR(AVERAGE(AD60:AD63)),"",AVERAGE(AD60:AD63))</f>
        <v>-0.31128981968458058</v>
      </c>
      <c r="AE59" s="71" t="str">
        <f>IF($D59="","",AA59-VLOOKUP($D59,$B$4:$BS$990,26,FALSE))</f>
        <v/>
      </c>
      <c r="AF59" s="71" t="str">
        <f>IF($D59="","",AB59-VLOOKUP($D59,$B$4:$BS$990,27,FALSE))</f>
        <v/>
      </c>
      <c r="AG59" s="92" t="str">
        <f>IF($D59="","",AC59-VLOOKUP($D59,$B$4:$BS$990,28,FALSE))</f>
        <v/>
      </c>
      <c r="AH59" s="89" t="str">
        <f>IF($D59="","",AD59-VLOOKUP($D59,$B$4:$BS$990,29,FALSE))</f>
        <v/>
      </c>
      <c r="AI59" s="95">
        <f t="shared" si="56"/>
        <v>2.4109278785695047</v>
      </c>
      <c r="AJ59" s="35">
        <f t="shared" si="56"/>
        <v>1.189431195568466</v>
      </c>
      <c r="AK59" s="138">
        <f>IF((ISERROR((Coeff!AB59+TestInfoPage!$B$6)/(Coeff!AA59+TestInfoPage!$B$5))),"",((Coeff!AB59+TestInfoPage!$B$6)/(Coeff!AA59+TestInfoPage!$B$5)))</f>
        <v>1.189431195568466</v>
      </c>
      <c r="AL59" s="135" t="str">
        <f>IF($D59="","",AI59-VLOOKUP($D59,$B$4:$BS$990,34,FALSE))</f>
        <v/>
      </c>
      <c r="AM59" s="72" t="str">
        <f>IF($D59="","",AJ59-VLOOKUP($D59,$B$4:$BS$990,35,FALSE))</f>
        <v/>
      </c>
      <c r="AN59" s="115" t="str">
        <f>IF($D59="","",AK59-VLOOKUP($D59,$B$4:$BS$990,36,FALSE))</f>
        <v/>
      </c>
      <c r="AO59" s="134">
        <f t="shared" si="34"/>
        <v>9.2851810245574828E-3</v>
      </c>
      <c r="AP59" s="44" t="str">
        <f t="shared" si="56"/>
        <v/>
      </c>
      <c r="AQ59" s="8" t="str">
        <f t="shared" si="56"/>
        <v/>
      </c>
      <c r="AR59" s="11">
        <f t="shared" si="56"/>
        <v>7.1077128540145704E-3</v>
      </c>
      <c r="AS59" s="11">
        <f t="shared" si="56"/>
        <v>1.1462649195100396E-2</v>
      </c>
      <c r="AT59" s="56" t="str">
        <f>IF(ISERR(AP59-VLOOKUP($D59,$B$4:$BS$990,41,FALSE)),"",(AP59-VLOOKUP($D59,$B$4:$BS$990,41,FALSE)))</f>
        <v/>
      </c>
      <c r="AU59" s="56" t="str">
        <f>IF(ISERR(AQ59-VLOOKUP($D59,$B$4:$BS$990,42,FALSE)),"",(AQ59-VLOOKUP($D59,$B$4:$BS$990,42,FALSE)))</f>
        <v/>
      </c>
      <c r="AV59" s="74" t="e">
        <f>IF(ISERR(AR59-VLOOKUP($D59,$B$4:$BS$990,43,FALSE)),"",AR59-VLOOKUP($D59,$B$4:$BS$990,43,FALSE))</f>
        <v>#N/A</v>
      </c>
      <c r="AW59" s="74" t="e">
        <f>IF(ISERR(AS59-VLOOKUP($D59,$B$4:$BS$990,44,FALSE)),"",AS59-VLOOKUP($D59,$B$4:$BS$990,44,FALSE))</f>
        <v>#N/A</v>
      </c>
      <c r="AX59" s="82">
        <f t="shared" ref="AX59:AY59" si="57">IF(ISERR(AVERAGE(AX60:AX63)),"",AVERAGE(AX60:AX63))</f>
        <v>1.7952372564083156E-2</v>
      </c>
      <c r="AY59" s="11">
        <f t="shared" si="57"/>
        <v>5.7094787998547211E-2</v>
      </c>
      <c r="AZ59" s="89" t="e">
        <f>IF(ISERR(AX59-VLOOKUP($D59,$B$4:$BS$990,49,FALSE)),"",(AX59-VLOOKUP($D59,$B$4:$BS$990,49,FALSE)))</f>
        <v>#N/A</v>
      </c>
      <c r="BA59" s="89" t="e">
        <f>IF(ISERR(AY59-VLOOKUP($D59,$B$4:$BS$990,50,FALSE)),"",(AY59-VLOOKUP($D59,$B$4:$BS$990,50,FALSE)))</f>
        <v>#N/A</v>
      </c>
      <c r="BB59" s="82">
        <f t="shared" ref="BB59:BS59" si="58">IF(ISERR(AVERAGE(BB60:BB63)),"",AVERAGE(BB60:BB63))</f>
        <v>-6.1995290835529404E-2</v>
      </c>
      <c r="BC59" s="8">
        <f t="shared" si="58"/>
        <v>-6.6261649391816696E-2</v>
      </c>
      <c r="BD59" s="8">
        <f t="shared" si="58"/>
        <v>-5.4762828116118573E-2</v>
      </c>
      <c r="BE59" s="8">
        <f t="shared" si="58"/>
        <v>-5.8653829114062001E-2</v>
      </c>
      <c r="BF59" s="8">
        <f t="shared" si="58"/>
        <v>-7.6439274311808691E-2</v>
      </c>
      <c r="BG59" s="8">
        <f t="shared" si="58"/>
        <v>-7.4206574710514533E-2</v>
      </c>
      <c r="BH59" s="8">
        <f t="shared" si="58"/>
        <v>-5.759475832495066E-2</v>
      </c>
      <c r="BI59" s="8">
        <f t="shared" si="58"/>
        <v>-6.016743257120373E-2</v>
      </c>
      <c r="BJ59" s="8">
        <f t="shared" si="58"/>
        <v>-6.0514293991634903E-2</v>
      </c>
      <c r="BK59" s="8">
        <f t="shared" si="58"/>
        <v>-6.2466406794408486E-2</v>
      </c>
      <c r="BL59" s="8">
        <f t="shared" si="58"/>
        <v>-6.4030674864691606E-2</v>
      </c>
      <c r="BM59" s="8">
        <f t="shared" si="58"/>
        <v>-7.425178611230418E-2</v>
      </c>
      <c r="BN59" s="8">
        <f t="shared" si="58"/>
        <v>-6.6202349742565905E-2</v>
      </c>
      <c r="BO59" s="8">
        <f t="shared" si="58"/>
        <v>-8.3913656866447361E-2</v>
      </c>
      <c r="BP59" s="8">
        <f t="shared" si="58"/>
        <v>-6.4472794509090631E-2</v>
      </c>
      <c r="BQ59" s="8">
        <f t="shared" si="58"/>
        <v>-7.3552345392253179E-2</v>
      </c>
      <c r="BR59" s="8">
        <f t="shared" si="58"/>
        <v>-6.0271792744901832E-2</v>
      </c>
      <c r="BS59" s="103">
        <f t="shared" si="58"/>
        <v>-4.9135501465814524E-2</v>
      </c>
      <c r="BT59" s="106" t="str">
        <f>IF($D59="","",BB59-VLOOKUP($D59,$B$4:$BS$990,53,FALSE))</f>
        <v/>
      </c>
      <c r="BU59" s="56" t="str">
        <f>IF($D59="","",BC59-VLOOKUP($D59,$B$4:$BS$990,54,FALSE))</f>
        <v/>
      </c>
      <c r="BV59" s="56" t="str">
        <f>IF($D59="","",BD59-VLOOKUP($D59,$B$4:$BS$990,55,FALSE))</f>
        <v/>
      </c>
      <c r="BW59" s="56" t="str">
        <f>IF($D59="","",BE59-VLOOKUP($D59,$B$4:$BS$990,56,FALSE))</f>
        <v/>
      </c>
      <c r="BX59" s="56" t="str">
        <f>IF($D59="","",BF59-VLOOKUP($D59,$B$4:$BS$990,57,FALSE))</f>
        <v/>
      </c>
      <c r="BY59" s="56" t="str">
        <f>IF($D59="","",BG59-VLOOKUP($D59,$B$4:$BS$990,58,FALSE))</f>
        <v/>
      </c>
      <c r="BZ59" s="56" t="str">
        <f>IF($D59="","",BH59-VLOOKUP($D59,$B$4:$BS$990,59,FALSE))</f>
        <v/>
      </c>
      <c r="CA59" s="56" t="str">
        <f>IF($D59="","",BI59-VLOOKUP($D59,$B$4:$BS$990,60,FALSE))</f>
        <v/>
      </c>
      <c r="CB59" s="56" t="str">
        <f>IF($D59="","",BJ59-VLOOKUP($D59,$B$4:$BS$990,61,FALSE))</f>
        <v/>
      </c>
      <c r="CC59" s="56" t="str">
        <f>IF($D59="","",BK59-VLOOKUP($D59,$B$4:$BS$990,62,FALSE))</f>
        <v/>
      </c>
      <c r="CD59" s="56" t="str">
        <f>IF($D59="","",BL59-VLOOKUP($D59,$B$4:$BS$990,63,FALSE))</f>
        <v/>
      </c>
      <c r="CE59" s="56" t="str">
        <f>IF($D59="","",BM59-VLOOKUP($D59,$B$4:$BS$990,64,FALSE))</f>
        <v/>
      </c>
      <c r="CF59" s="56" t="str">
        <f>IF($D59="","",BN59-VLOOKUP($D59,$B$4:$BS$990,65,FALSE))</f>
        <v/>
      </c>
      <c r="CG59" s="56" t="str">
        <f>IF($D59="","",BO59-VLOOKUP($D59,$B$4:$BS$990,66,FALSE))</f>
        <v/>
      </c>
      <c r="CH59" s="56" t="str">
        <f>IF($D59="","",BP59-VLOOKUP($D59,$B$4:$BS$990,67,FALSE))</f>
        <v/>
      </c>
      <c r="CI59" s="56" t="str">
        <f>IF($D59="","",BQ59-VLOOKUP($D59,$B$4:$BS$990,68,FALSE))</f>
        <v/>
      </c>
      <c r="CJ59" s="56" t="str">
        <f>IF($D59="","",BR59-VLOOKUP($D59,$B$4:$BS$990,69,FALSE))</f>
        <v/>
      </c>
      <c r="CK59" s="78" t="str">
        <f>IF($D59="","",BS59-VLOOKUP($D59,$B$4:$BS$990,70,FALSE))</f>
        <v/>
      </c>
      <c r="CL59" s="1"/>
      <c r="DI59" s="3"/>
      <c r="DJ59" s="3"/>
      <c r="DK59" s="3"/>
      <c r="DL59" s="3"/>
      <c r="DM59" s="3"/>
      <c r="DN59" s="3"/>
      <c r="DO59" s="3"/>
      <c r="DP59" s="3"/>
      <c r="DQ59" s="3"/>
      <c r="DR59" s="3"/>
      <c r="DS59" s="3"/>
      <c r="DT59" s="3"/>
      <c r="DU59" s="3"/>
      <c r="DV59" s="3"/>
      <c r="DW59" s="3"/>
      <c r="DX59" s="3"/>
      <c r="DY59" s="3"/>
      <c r="DZ59" s="3"/>
      <c r="EA59" s="3"/>
      <c r="EB59" s="3"/>
      <c r="EC59" s="3"/>
      <c r="ED59" s="3"/>
      <c r="EE59" s="3"/>
      <c r="EF59" s="3"/>
      <c r="EG59" s="3"/>
      <c r="EH59" s="3"/>
      <c r="EI59" s="3"/>
      <c r="EJ59" s="3"/>
      <c r="EK59" s="3"/>
      <c r="EL59" s="3"/>
      <c r="EM59" s="3"/>
      <c r="EN59" s="3"/>
      <c r="EO59" s="3"/>
      <c r="EP59" s="3"/>
      <c r="EQ59" s="3"/>
      <c r="ER59" s="3"/>
      <c r="ES59" s="3"/>
      <c r="ET59" s="3"/>
      <c r="EU59" s="3"/>
      <c r="EV59" s="3"/>
      <c r="EW59" s="3"/>
      <c r="EX59" s="3"/>
      <c r="EY59" s="3"/>
      <c r="EZ59" s="3"/>
      <c r="FA59" s="3"/>
      <c r="FB59" s="3"/>
      <c r="FC59" s="3"/>
      <c r="FD59" s="3"/>
      <c r="FE59" s="3"/>
      <c r="FF59" s="3"/>
      <c r="FG59" s="3"/>
      <c r="FH59" s="3"/>
      <c r="FI59" s="3"/>
      <c r="FJ59" s="3"/>
      <c r="FK59" s="3"/>
      <c r="FL59" s="3"/>
      <c r="FM59" s="3"/>
      <c r="FN59" s="3"/>
      <c r="FO59" s="3"/>
      <c r="FP59" s="3"/>
      <c r="FQ59" s="3"/>
      <c r="FR59" s="3"/>
      <c r="FS59" s="3"/>
      <c r="FT59" s="3"/>
      <c r="FU59" s="3"/>
      <c r="FV59" s="3"/>
      <c r="FW59" s="3"/>
      <c r="FX59" s="3"/>
      <c r="FY59" s="3"/>
      <c r="FZ59" s="3"/>
      <c r="GA59" s="3"/>
      <c r="GB59" s="3"/>
      <c r="GC59" s="3"/>
      <c r="GD59" s="3"/>
      <c r="GE59" s="3"/>
      <c r="GF59" s="3"/>
      <c r="GG59" s="3"/>
      <c r="GH59" s="3"/>
      <c r="GI59" s="3"/>
      <c r="GJ59" s="3"/>
      <c r="GK59" s="3"/>
      <c r="GL59" s="3"/>
      <c r="GM59" s="3"/>
      <c r="GN59" s="3"/>
      <c r="GO59" s="3"/>
      <c r="GP59" s="3"/>
      <c r="GQ59" s="3"/>
      <c r="GR59" s="3"/>
      <c r="GS59" s="3"/>
      <c r="GT59" s="3"/>
      <c r="GU59" s="3"/>
      <c r="GV59" s="3"/>
      <c r="GW59" s="3"/>
      <c r="GX59" s="3"/>
      <c r="GY59" s="3"/>
      <c r="GZ59" s="3"/>
      <c r="HA59" s="3"/>
      <c r="HB59" s="3"/>
      <c r="HC59" s="3"/>
      <c r="HD59" s="3"/>
      <c r="HE59" s="3"/>
      <c r="HF59" s="3"/>
      <c r="HG59" s="3"/>
      <c r="HH59" s="3"/>
      <c r="HI59" s="3"/>
      <c r="HJ59" s="3"/>
      <c r="HK59" s="3"/>
      <c r="HL59" s="3"/>
      <c r="HM59" s="3"/>
      <c r="HN59" s="3"/>
      <c r="HO59" s="3"/>
      <c r="HP59" s="3"/>
    </row>
    <row r="60" spans="1:224" x14ac:dyDescent="0.25">
      <c r="A60" s="158">
        <v>0</v>
      </c>
      <c r="B60" s="10"/>
      <c r="C60" s="10">
        <v>1</v>
      </c>
      <c r="D60" s="76"/>
      <c r="E60" s="79">
        <v>0.23295971117463063</v>
      </c>
      <c r="F60" s="80"/>
      <c r="G60" s="7">
        <v>0.5616490622544168</v>
      </c>
      <c r="H60" s="7">
        <v>0.66804291560717877</v>
      </c>
      <c r="I60" s="7">
        <v>-0.10639385335276202</v>
      </c>
      <c r="J60" s="7">
        <v>-5.1922200833497932E-2</v>
      </c>
      <c r="K60" s="7"/>
      <c r="L60" s="7"/>
      <c r="M60" s="7"/>
      <c r="N60" s="7"/>
      <c r="O60" s="79">
        <v>0.38721838447997042</v>
      </c>
      <c r="P60" s="7">
        <v>-7.7616073930776505E-2</v>
      </c>
      <c r="Q60" s="7">
        <v>2.0302844676168538E-2</v>
      </c>
      <c r="R60" s="7"/>
      <c r="S60" s="7"/>
      <c r="T60" s="80"/>
      <c r="U60" s="6">
        <v>1.7544186631220831</v>
      </c>
      <c r="V60" s="6">
        <v>0.33723825413346709</v>
      </c>
      <c r="W60" s="90">
        <f>IF(ISERR(X60*$AC$1/375),"",(X60*$AC$1/375))</f>
        <v>9.3111084560110177E-2</v>
      </c>
      <c r="X60" s="15">
        <f>IF(ISERR(((($AC$1)^2)*0.002558)*E60*$F$1),"",(((($AC$1)^2)*0.002558)*E60*$F$1))</f>
        <v>1.3966662684016526</v>
      </c>
      <c r="Y60" s="15"/>
      <c r="Z60" s="91"/>
      <c r="AA60" s="90">
        <f t="shared" ref="AA60:AD63" si="59">IF(ISERR(((($AC$1)^2)*0.002558)*G60*$F$1),"",(((($AC$1)^2)*0.002558)*G60*$F$1))</f>
        <v>3.3672616435471832</v>
      </c>
      <c r="AB60" s="15">
        <f t="shared" si="59"/>
        <v>4.0051260424761637</v>
      </c>
      <c r="AC60" s="15">
        <f t="shared" si="59"/>
        <v>-0.63786439892898106</v>
      </c>
      <c r="AD60" s="15">
        <f t="shared" si="59"/>
        <v>-0.31128981968458058</v>
      </c>
      <c r="AE60" s="132"/>
      <c r="AF60" s="132"/>
      <c r="AG60" s="132"/>
      <c r="AH60" s="133"/>
      <c r="AI60" s="96">
        <f>IF(ISERR(AA60/X60),"",(AA60/X60))</f>
        <v>2.4109278785695047</v>
      </c>
      <c r="AJ60" s="36">
        <f>IF(ISERR(AB60/AA60),"",(AB60/AA60))</f>
        <v>1.189431195568466</v>
      </c>
      <c r="AK60" s="139">
        <f>IF((ISERROR((Coeff!AB60+TestInfoPage!$B$6)/(Coeff!AA60+TestInfoPage!$B$5))),"",((Coeff!AB60+TestInfoPage!$B$6)/(Coeff!AA60+TestInfoPage!$B$5)))</f>
        <v>1.189431195568466</v>
      </c>
      <c r="AL60" s="96"/>
      <c r="AM60" s="36"/>
      <c r="AN60" s="142"/>
      <c r="AO60" s="79">
        <f t="shared" si="34"/>
        <v>9.2851810245574828E-3</v>
      </c>
      <c r="AP60" s="4" t="s">
        <v>119</v>
      </c>
      <c r="AQ60" s="4" t="s">
        <v>119</v>
      </c>
      <c r="AR60" s="4">
        <v>7.1077128540145704E-3</v>
      </c>
      <c r="AS60" s="4">
        <v>1.1462649195100396E-2</v>
      </c>
      <c r="AT60" s="128"/>
      <c r="AU60" s="128"/>
      <c r="AV60" s="128"/>
      <c r="AW60" s="129"/>
      <c r="AX60" s="81">
        <v>1.7952372564083156E-2</v>
      </c>
      <c r="AY60" s="4">
        <v>5.7094787998547211E-2</v>
      </c>
      <c r="AZ60" s="15"/>
      <c r="BA60" s="91"/>
      <c r="BB60" s="162">
        <v>-6.1995290835529404E-2</v>
      </c>
      <c r="BC60" s="128">
        <v>-6.6261649391816696E-2</v>
      </c>
      <c r="BD60" s="128">
        <v>-5.4762828116118573E-2</v>
      </c>
      <c r="BE60" s="128">
        <v>-5.8653829114062001E-2</v>
      </c>
      <c r="BF60" s="128">
        <v>-7.6439274311808691E-2</v>
      </c>
      <c r="BG60" s="128">
        <v>-7.4206574710514533E-2</v>
      </c>
      <c r="BH60" s="128">
        <v>-5.759475832495066E-2</v>
      </c>
      <c r="BI60" s="128">
        <v>-6.016743257120373E-2</v>
      </c>
      <c r="BJ60" s="128">
        <v>-6.0514293991634903E-2</v>
      </c>
      <c r="BK60" s="128">
        <v>-6.2466406794408486E-2</v>
      </c>
      <c r="BL60" s="128">
        <v>-6.4030674864691606E-2</v>
      </c>
      <c r="BM60" s="128">
        <v>-7.425178611230418E-2</v>
      </c>
      <c r="BN60" s="128">
        <v>-6.6202349742565905E-2</v>
      </c>
      <c r="BO60" s="128">
        <v>-8.3913656866447361E-2</v>
      </c>
      <c r="BP60" s="128">
        <v>-6.4472794509090631E-2</v>
      </c>
      <c r="BQ60" s="128">
        <v>-7.3552345392253179E-2</v>
      </c>
      <c r="BR60" s="128">
        <v>-6.0271792744901832E-2</v>
      </c>
      <c r="BS60" s="129">
        <v>-4.9135501465814524E-2</v>
      </c>
      <c r="BT60" s="107"/>
      <c r="BU60" s="100"/>
      <c r="BV60" s="100"/>
      <c r="BW60" s="100"/>
      <c r="BX60" s="100"/>
      <c r="BY60" s="100"/>
      <c r="BZ60" s="100"/>
      <c r="CA60" s="100"/>
      <c r="CB60" s="100"/>
      <c r="CC60" s="100"/>
      <c r="CD60" s="100"/>
      <c r="CE60" s="100"/>
      <c r="CF60" s="100"/>
      <c r="CG60" s="100"/>
      <c r="CH60" s="100"/>
      <c r="CI60" s="100"/>
      <c r="CJ60" s="100"/>
      <c r="CK60" s="108"/>
      <c r="CL60" s="1"/>
      <c r="DI60" s="3"/>
      <c r="DJ60" s="3"/>
      <c r="DK60" s="3"/>
      <c r="DL60" s="3"/>
      <c r="DM60" s="3"/>
      <c r="DN60" s="3"/>
      <c r="DO60" s="3"/>
      <c r="DP60" s="3"/>
      <c r="DQ60" s="3"/>
      <c r="DR60" s="3"/>
      <c r="DS60" s="3"/>
      <c r="DT60" s="3"/>
      <c r="DU60" s="3"/>
      <c r="DV60" s="3"/>
      <c r="DW60" s="3"/>
      <c r="DX60" s="3"/>
      <c r="DY60" s="3"/>
      <c r="DZ60" s="3"/>
      <c r="EA60" s="3"/>
      <c r="EB60" s="3"/>
      <c r="EC60" s="3"/>
      <c r="ED60" s="3"/>
      <c r="EE60" s="3"/>
      <c r="EF60" s="3"/>
      <c r="EG60" s="3"/>
      <c r="EH60" s="3"/>
      <c r="EI60" s="3"/>
      <c r="EJ60" s="3"/>
      <c r="EK60" s="3"/>
      <c r="EL60" s="3"/>
      <c r="EM60" s="3"/>
      <c r="EN60" s="3"/>
      <c r="EO60" s="3"/>
      <c r="EP60" s="3"/>
      <c r="EQ60" s="3"/>
      <c r="ER60" s="3"/>
      <c r="ES60" s="3"/>
      <c r="ET60" s="3"/>
      <c r="EU60" s="3"/>
      <c r="EV60" s="3"/>
      <c r="EW60" s="3"/>
      <c r="EX60" s="3"/>
      <c r="EY60" s="3"/>
      <c r="EZ60" s="3"/>
      <c r="FA60" s="3"/>
      <c r="FB60" s="3"/>
      <c r="FC60" s="3"/>
      <c r="FD60" s="3"/>
      <c r="FE60" s="3"/>
      <c r="FF60" s="3"/>
      <c r="FG60" s="3"/>
      <c r="FH60" s="3"/>
      <c r="FI60" s="3"/>
      <c r="FJ60" s="3"/>
      <c r="FK60" s="3"/>
      <c r="FL60" s="3"/>
      <c r="FM60" s="3"/>
      <c r="FN60" s="3"/>
      <c r="FO60" s="3"/>
      <c r="FP60" s="3"/>
      <c r="FQ60" s="3"/>
      <c r="FR60" s="3"/>
      <c r="FS60" s="3"/>
      <c r="FT60" s="3"/>
      <c r="FU60" s="3"/>
      <c r="FV60" s="3"/>
      <c r="FW60" s="3"/>
      <c r="FX60" s="3"/>
      <c r="FY60" s="3"/>
      <c r="FZ60" s="3"/>
      <c r="GA60" s="3"/>
      <c r="GB60" s="3"/>
      <c r="GC60" s="3"/>
      <c r="GD60" s="3"/>
      <c r="GE60" s="3"/>
      <c r="GF60" s="3"/>
      <c r="GG60" s="3"/>
      <c r="GH60" s="3"/>
      <c r="GI60" s="3"/>
      <c r="GJ60" s="3"/>
      <c r="GK60" s="3"/>
      <c r="GL60" s="3"/>
      <c r="GM60" s="3"/>
      <c r="GN60" s="3"/>
      <c r="GO60" s="3"/>
      <c r="GP60" s="3"/>
      <c r="GQ60" s="3"/>
      <c r="GR60" s="3"/>
      <c r="GS60" s="3"/>
      <c r="GT60" s="3"/>
      <c r="GU60" s="3"/>
      <c r="GV60" s="3"/>
      <c r="GW60" s="3"/>
      <c r="GX60" s="3"/>
      <c r="GY60" s="3"/>
      <c r="GZ60" s="3"/>
      <c r="HA60" s="3"/>
      <c r="HB60" s="3"/>
      <c r="HC60" s="3"/>
      <c r="HD60" s="3"/>
      <c r="HE60" s="3"/>
      <c r="HF60" s="3"/>
      <c r="HG60" s="3"/>
      <c r="HH60" s="3"/>
      <c r="HI60" s="3"/>
      <c r="HJ60" s="3"/>
      <c r="HK60" s="3"/>
      <c r="HL60" s="3"/>
      <c r="HM60" s="3"/>
      <c r="HN60" s="3"/>
      <c r="HO60" s="3"/>
      <c r="HP60" s="3"/>
    </row>
    <row r="61" spans="1:224" x14ac:dyDescent="0.25">
      <c r="A61" s="158">
        <v>0</v>
      </c>
      <c r="B61" s="10"/>
      <c r="C61" s="10">
        <v>2</v>
      </c>
      <c r="D61" s="76"/>
      <c r="E61" s="81" t="s">
        <v>119</v>
      </c>
      <c r="F61" s="80"/>
      <c r="G61" s="4" t="s">
        <v>119</v>
      </c>
      <c r="H61" s="4" t="s">
        <v>119</v>
      </c>
      <c r="I61" s="4" t="s">
        <v>119</v>
      </c>
      <c r="J61" s="4" t="s">
        <v>119</v>
      </c>
      <c r="K61" s="7"/>
      <c r="L61" s="7"/>
      <c r="M61" s="7"/>
      <c r="N61" s="7"/>
      <c r="O61" s="81" t="s">
        <v>119</v>
      </c>
      <c r="P61" s="4" t="s">
        <v>119</v>
      </c>
      <c r="Q61" s="4" t="s">
        <v>119</v>
      </c>
      <c r="R61" s="7"/>
      <c r="S61" s="7"/>
      <c r="T61" s="80"/>
      <c r="U61" s="6" t="s">
        <v>119</v>
      </c>
      <c r="V61" s="6" t="s">
        <v>119</v>
      </c>
      <c r="W61" s="90" t="str">
        <f>IF(ISERR(X61*$AC$1/375),"",(X61*$AC$1/375))</f>
        <v/>
      </c>
      <c r="X61" s="15" t="str">
        <f>IF(ISERR(((($AC$1)^2)*0.002558)*E61*$F$1),"",(((($AC$1)^2)*0.002558)*E61*$F$1))</f>
        <v/>
      </c>
      <c r="Y61" s="15"/>
      <c r="Z61" s="91"/>
      <c r="AA61" s="90" t="str">
        <f t="shared" si="59"/>
        <v/>
      </c>
      <c r="AB61" s="15" t="str">
        <f t="shared" si="59"/>
        <v/>
      </c>
      <c r="AC61" s="15" t="str">
        <f t="shared" si="59"/>
        <v/>
      </c>
      <c r="AD61" s="15" t="str">
        <f t="shared" si="59"/>
        <v/>
      </c>
      <c r="AE61" s="15"/>
      <c r="AF61" s="15"/>
      <c r="AG61" s="15"/>
      <c r="AH61" s="91"/>
      <c r="AI61" s="96" t="str">
        <f>IF(ISERR(AA61/X61),"",(AA61/X61))</f>
        <v/>
      </c>
      <c r="AJ61" s="97" t="str">
        <f>IF(ISERR(AB61/AA61),"",(AB61/AA61))</f>
        <v/>
      </c>
      <c r="AK61" s="139" t="str">
        <f>IF((ISERROR((Coeff!AB61+TestInfoPage!$B$6)/(Coeff!AA61+TestInfoPage!$B$5))),"",((Coeff!AB61+TestInfoPage!$B$6)/(Coeff!AA61+TestInfoPage!$B$5)))</f>
        <v/>
      </c>
      <c r="AL61" s="96"/>
      <c r="AM61" s="36"/>
      <c r="AN61" s="142"/>
      <c r="AO61" s="79" t="str">
        <f t="shared" si="34"/>
        <v/>
      </c>
      <c r="AP61" s="4" t="s">
        <v>119</v>
      </c>
      <c r="AQ61" s="4" t="s">
        <v>119</v>
      </c>
      <c r="AR61" s="4" t="s">
        <v>119</v>
      </c>
      <c r="AS61" s="4" t="s">
        <v>119</v>
      </c>
      <c r="AT61" s="7"/>
      <c r="AU61" s="7"/>
      <c r="AV61" s="7"/>
      <c r="AW61" s="80"/>
      <c r="AX61" s="81" t="s">
        <v>119</v>
      </c>
      <c r="AY61" s="4" t="s">
        <v>119</v>
      </c>
      <c r="AZ61" s="15"/>
      <c r="BA61" s="91"/>
      <c r="BB61" s="79" t="s">
        <v>119</v>
      </c>
      <c r="BC61" s="7" t="s">
        <v>119</v>
      </c>
      <c r="BD61" s="7" t="s">
        <v>119</v>
      </c>
      <c r="BE61" s="7" t="s">
        <v>119</v>
      </c>
      <c r="BF61" s="7" t="s">
        <v>119</v>
      </c>
      <c r="BG61" s="7" t="s">
        <v>119</v>
      </c>
      <c r="BH61" s="7" t="s">
        <v>119</v>
      </c>
      <c r="BI61" s="7" t="s">
        <v>119</v>
      </c>
      <c r="BJ61" s="7" t="s">
        <v>119</v>
      </c>
      <c r="BK61" s="7" t="s">
        <v>119</v>
      </c>
      <c r="BL61" s="7" t="s">
        <v>119</v>
      </c>
      <c r="BM61" s="7" t="s">
        <v>119</v>
      </c>
      <c r="BN61" s="7" t="s">
        <v>119</v>
      </c>
      <c r="BO61" s="7" t="s">
        <v>119</v>
      </c>
      <c r="BP61" s="7" t="s">
        <v>119</v>
      </c>
      <c r="BQ61" s="7" t="s">
        <v>119</v>
      </c>
      <c r="BR61" s="7" t="s">
        <v>119</v>
      </c>
      <c r="BS61" s="80" t="s">
        <v>119</v>
      </c>
      <c r="BT61" s="107"/>
      <c r="BU61" s="100"/>
      <c r="BV61" s="100"/>
      <c r="BW61" s="100"/>
      <c r="BX61" s="100"/>
      <c r="BY61" s="100"/>
      <c r="BZ61" s="100"/>
      <c r="CA61" s="100"/>
      <c r="CB61" s="100"/>
      <c r="CC61" s="100"/>
      <c r="CD61" s="100"/>
      <c r="CE61" s="100"/>
      <c r="CF61" s="100"/>
      <c r="CG61" s="100"/>
      <c r="CH61" s="100"/>
      <c r="CI61" s="100"/>
      <c r="CJ61" s="100"/>
      <c r="CK61" s="108"/>
      <c r="CL61" s="1"/>
      <c r="DI61" s="3"/>
      <c r="DJ61" s="3"/>
      <c r="DK61" s="3"/>
      <c r="DL61" s="3"/>
      <c r="DM61" s="3"/>
      <c r="DN61" s="3"/>
      <c r="DO61" s="3"/>
      <c r="DP61" s="3"/>
      <c r="DQ61" s="3"/>
      <c r="DR61" s="3"/>
      <c r="DS61" s="3"/>
      <c r="DT61" s="3"/>
      <c r="DU61" s="3"/>
      <c r="DV61" s="3"/>
      <c r="DW61" s="3"/>
      <c r="DX61" s="3"/>
      <c r="DY61" s="3"/>
      <c r="DZ61" s="3"/>
      <c r="EA61" s="3"/>
      <c r="EB61" s="3"/>
      <c r="EC61" s="3"/>
      <c r="ED61" s="3"/>
      <c r="EE61" s="3"/>
      <c r="EF61" s="3"/>
      <c r="EG61" s="3"/>
      <c r="EH61" s="3"/>
      <c r="EI61" s="3"/>
      <c r="EJ61" s="3"/>
      <c r="EK61" s="3"/>
      <c r="EL61" s="3"/>
      <c r="EM61" s="3"/>
      <c r="EN61" s="3"/>
      <c r="EO61" s="3"/>
      <c r="EP61" s="3"/>
      <c r="EQ61" s="3"/>
      <c r="ER61" s="3"/>
      <c r="ES61" s="3"/>
      <c r="ET61" s="3"/>
      <c r="EU61" s="3"/>
      <c r="EV61" s="3"/>
      <c r="EW61" s="3"/>
      <c r="EX61" s="3"/>
      <c r="EY61" s="3"/>
      <c r="EZ61" s="3"/>
      <c r="FA61" s="3"/>
      <c r="FB61" s="3"/>
      <c r="FC61" s="3"/>
      <c r="FD61" s="3"/>
      <c r="FE61" s="3"/>
      <c r="FF61" s="3"/>
      <c r="FG61" s="3"/>
      <c r="FH61" s="3"/>
      <c r="FI61" s="3"/>
      <c r="FJ61" s="3"/>
      <c r="FK61" s="3"/>
      <c r="FL61" s="3"/>
      <c r="FM61" s="3"/>
      <c r="FN61" s="3"/>
      <c r="FO61" s="3"/>
      <c r="FP61" s="3"/>
      <c r="FQ61" s="3"/>
      <c r="FR61" s="3"/>
      <c r="FS61" s="3"/>
      <c r="FT61" s="3"/>
      <c r="FU61" s="3"/>
      <c r="FV61" s="3"/>
      <c r="FW61" s="3"/>
      <c r="FX61" s="3"/>
      <c r="FY61" s="3"/>
      <c r="FZ61" s="3"/>
      <c r="GA61" s="3"/>
      <c r="GB61" s="3"/>
      <c r="GC61" s="3"/>
      <c r="GD61" s="3"/>
      <c r="GE61" s="3"/>
      <c r="GF61" s="3"/>
      <c r="GG61" s="3"/>
      <c r="GH61" s="3"/>
      <c r="GI61" s="3"/>
      <c r="GJ61" s="3"/>
      <c r="GK61" s="3"/>
      <c r="GL61" s="3"/>
      <c r="GM61" s="3"/>
      <c r="GN61" s="3"/>
      <c r="GO61" s="3"/>
      <c r="GP61" s="3"/>
      <c r="GQ61" s="3"/>
      <c r="GR61" s="3"/>
      <c r="GS61" s="3"/>
      <c r="GT61" s="3"/>
      <c r="GU61" s="3"/>
      <c r="GV61" s="3"/>
      <c r="GW61" s="3"/>
      <c r="GX61" s="3"/>
      <c r="GY61" s="3"/>
      <c r="GZ61" s="3"/>
      <c r="HA61" s="3"/>
      <c r="HB61" s="3"/>
      <c r="HC61" s="3"/>
      <c r="HD61" s="3"/>
      <c r="HE61" s="3"/>
      <c r="HF61" s="3"/>
      <c r="HG61" s="3"/>
      <c r="HH61" s="3"/>
      <c r="HI61" s="3"/>
      <c r="HJ61" s="3"/>
      <c r="HK61" s="3"/>
      <c r="HL61" s="3"/>
      <c r="HM61" s="3"/>
      <c r="HN61" s="3"/>
      <c r="HO61" s="3"/>
      <c r="HP61" s="3"/>
    </row>
    <row r="62" spans="1:224" ht="13.5" customHeight="1" x14ac:dyDescent="0.25">
      <c r="A62" s="158">
        <v>0</v>
      </c>
      <c r="B62" s="10"/>
      <c r="C62" s="10">
        <v>3</v>
      </c>
      <c r="D62" s="76"/>
      <c r="E62" s="81" t="s">
        <v>119</v>
      </c>
      <c r="F62" s="80"/>
      <c r="G62" s="4" t="s">
        <v>119</v>
      </c>
      <c r="H62" s="4" t="s">
        <v>119</v>
      </c>
      <c r="I62" s="4" t="s">
        <v>119</v>
      </c>
      <c r="J62" s="4" t="s">
        <v>119</v>
      </c>
      <c r="K62" s="7"/>
      <c r="L62" s="7"/>
      <c r="M62" s="7"/>
      <c r="N62" s="7"/>
      <c r="O62" s="81" t="s">
        <v>119</v>
      </c>
      <c r="P62" s="4" t="s">
        <v>119</v>
      </c>
      <c r="Q62" s="4" t="s">
        <v>119</v>
      </c>
      <c r="R62" s="7"/>
      <c r="S62" s="7"/>
      <c r="T62" s="80"/>
      <c r="U62" s="6" t="s">
        <v>119</v>
      </c>
      <c r="V62" s="6" t="s">
        <v>119</v>
      </c>
      <c r="W62" s="90" t="str">
        <f>IF(ISERR(X62*$AC$1/375),"",(X62*$AC$1/375))</f>
        <v/>
      </c>
      <c r="X62" s="15" t="str">
        <f>IF(ISERR(((($AC$1)^2)*0.002558)*E62*$F$1),"",(((($AC$1)^2)*0.002558)*E62*$F$1))</f>
        <v/>
      </c>
      <c r="Y62" s="15"/>
      <c r="Z62" s="91"/>
      <c r="AA62" s="90" t="str">
        <f t="shared" si="59"/>
        <v/>
      </c>
      <c r="AB62" s="15" t="str">
        <f t="shared" si="59"/>
        <v/>
      </c>
      <c r="AC62" s="15" t="str">
        <f t="shared" si="59"/>
        <v/>
      </c>
      <c r="AD62" s="15" t="str">
        <f t="shared" si="59"/>
        <v/>
      </c>
      <c r="AE62" s="15"/>
      <c r="AF62" s="15"/>
      <c r="AG62" s="15"/>
      <c r="AH62" s="91"/>
      <c r="AI62" s="96" t="str">
        <f>IF(ISERR(AA62/X62),"",(AA62/X62))</f>
        <v/>
      </c>
      <c r="AJ62" s="97" t="str">
        <f>IF(ISERR(AB62/AA62),"",(AB62/AA62))</f>
        <v/>
      </c>
      <c r="AK62" s="139" t="str">
        <f>IF((ISERROR((Coeff!AB62+TestInfoPage!$B$6)/(Coeff!AA62+TestInfoPage!$B$5))),"",((Coeff!AB62+TestInfoPage!$B$6)/(Coeff!AA62+TestInfoPage!$B$5)))</f>
        <v/>
      </c>
      <c r="AL62" s="96"/>
      <c r="AM62" s="36"/>
      <c r="AN62" s="142"/>
      <c r="AO62" s="79" t="str">
        <f t="shared" si="34"/>
        <v/>
      </c>
      <c r="AP62" s="4" t="s">
        <v>119</v>
      </c>
      <c r="AQ62" s="4" t="s">
        <v>119</v>
      </c>
      <c r="AR62" s="4" t="s">
        <v>119</v>
      </c>
      <c r="AS62" s="4" t="s">
        <v>119</v>
      </c>
      <c r="AT62" s="7"/>
      <c r="AU62" s="7"/>
      <c r="AV62" s="7"/>
      <c r="AW62" s="80"/>
      <c r="AX62" s="81" t="s">
        <v>119</v>
      </c>
      <c r="AY62" s="4" t="s">
        <v>119</v>
      </c>
      <c r="AZ62" s="15"/>
      <c r="BA62" s="91"/>
      <c r="BB62" s="79" t="s">
        <v>119</v>
      </c>
      <c r="BC62" s="7" t="s">
        <v>119</v>
      </c>
      <c r="BD62" s="7" t="s">
        <v>119</v>
      </c>
      <c r="BE62" s="7" t="s">
        <v>119</v>
      </c>
      <c r="BF62" s="7" t="s">
        <v>119</v>
      </c>
      <c r="BG62" s="7" t="s">
        <v>119</v>
      </c>
      <c r="BH62" s="7" t="s">
        <v>119</v>
      </c>
      <c r="BI62" s="7" t="s">
        <v>119</v>
      </c>
      <c r="BJ62" s="7" t="s">
        <v>119</v>
      </c>
      <c r="BK62" s="7" t="s">
        <v>119</v>
      </c>
      <c r="BL62" s="7" t="s">
        <v>119</v>
      </c>
      <c r="BM62" s="7" t="s">
        <v>119</v>
      </c>
      <c r="BN62" s="7" t="s">
        <v>119</v>
      </c>
      <c r="BO62" s="7" t="s">
        <v>119</v>
      </c>
      <c r="BP62" s="7" t="s">
        <v>119</v>
      </c>
      <c r="BQ62" s="7" t="s">
        <v>119</v>
      </c>
      <c r="BR62" s="7" t="s">
        <v>119</v>
      </c>
      <c r="BS62" s="80" t="s">
        <v>119</v>
      </c>
      <c r="BT62" s="107"/>
      <c r="BU62" s="100"/>
      <c r="BV62" s="100"/>
      <c r="BW62" s="100"/>
      <c r="BX62" s="100"/>
      <c r="BY62" s="100"/>
      <c r="BZ62" s="100"/>
      <c r="CA62" s="100"/>
      <c r="CB62" s="100"/>
      <c r="CC62" s="100"/>
      <c r="CD62" s="100"/>
      <c r="CE62" s="100"/>
      <c r="CF62" s="100"/>
      <c r="CG62" s="100"/>
      <c r="CH62" s="100"/>
      <c r="CI62" s="100"/>
      <c r="CJ62" s="100"/>
      <c r="CK62" s="108"/>
      <c r="CL62" s="1"/>
      <c r="DI62" s="3"/>
      <c r="DJ62" s="3"/>
      <c r="DK62" s="3"/>
      <c r="DL62" s="3"/>
      <c r="DM62" s="3"/>
      <c r="DN62" s="3"/>
      <c r="DO62" s="3"/>
      <c r="DP62" s="3"/>
      <c r="DQ62" s="3"/>
      <c r="DR62" s="3"/>
      <c r="DS62" s="3"/>
      <c r="DT62" s="3"/>
      <c r="DU62" s="3"/>
      <c r="DV62" s="3"/>
      <c r="DW62" s="3"/>
      <c r="DX62" s="3"/>
      <c r="DY62" s="3"/>
      <c r="DZ62" s="3"/>
      <c r="EA62" s="3"/>
      <c r="EB62" s="3"/>
      <c r="EC62" s="3"/>
      <c r="ED62" s="3"/>
      <c r="EE62" s="3"/>
      <c r="EF62" s="3"/>
      <c r="EG62" s="3"/>
      <c r="EH62" s="3"/>
      <c r="EI62" s="3"/>
      <c r="EJ62" s="3"/>
      <c r="EK62" s="3"/>
      <c r="EL62" s="3"/>
      <c r="EM62" s="3"/>
      <c r="EN62" s="3"/>
      <c r="EO62" s="3"/>
      <c r="EP62" s="3"/>
      <c r="EQ62" s="3"/>
      <c r="ER62" s="3"/>
      <c r="ES62" s="3"/>
      <c r="ET62" s="3"/>
      <c r="EU62" s="3"/>
      <c r="EV62" s="3"/>
      <c r="EW62" s="3"/>
      <c r="EX62" s="3"/>
      <c r="EY62" s="3"/>
      <c r="EZ62" s="3"/>
      <c r="FA62" s="3"/>
      <c r="FB62" s="3"/>
      <c r="FC62" s="3"/>
      <c r="FD62" s="3"/>
      <c r="FE62" s="3"/>
      <c r="FF62" s="3"/>
      <c r="FG62" s="3"/>
      <c r="FH62" s="3"/>
      <c r="FI62" s="3"/>
      <c r="FJ62" s="3"/>
      <c r="FK62" s="3"/>
      <c r="FL62" s="3"/>
      <c r="FM62" s="3"/>
      <c r="FN62" s="3"/>
      <c r="FO62" s="3"/>
      <c r="FP62" s="3"/>
      <c r="FQ62" s="3"/>
      <c r="FR62" s="3"/>
      <c r="FS62" s="3"/>
      <c r="FT62" s="3"/>
      <c r="FU62" s="3"/>
      <c r="FV62" s="3"/>
      <c r="FW62" s="3"/>
      <c r="FX62" s="3"/>
      <c r="FY62" s="3"/>
      <c r="FZ62" s="3"/>
      <c r="GA62" s="3"/>
      <c r="GB62" s="3"/>
      <c r="GC62" s="3"/>
      <c r="GD62" s="3"/>
      <c r="GE62" s="3"/>
      <c r="GF62" s="3"/>
      <c r="GG62" s="3"/>
      <c r="GH62" s="3"/>
      <c r="GI62" s="3"/>
      <c r="GJ62" s="3"/>
      <c r="GK62" s="3"/>
      <c r="GL62" s="3"/>
      <c r="GM62" s="3"/>
      <c r="GN62" s="3"/>
      <c r="GO62" s="3"/>
      <c r="GP62" s="3"/>
      <c r="GQ62" s="3"/>
      <c r="GR62" s="3"/>
      <c r="GS62" s="3"/>
      <c r="GT62" s="3"/>
      <c r="GU62" s="3"/>
      <c r="GV62" s="3"/>
      <c r="GW62" s="3"/>
      <c r="GX62" s="3"/>
      <c r="GY62" s="3"/>
      <c r="GZ62" s="3"/>
      <c r="HA62" s="3"/>
      <c r="HB62" s="3"/>
      <c r="HC62" s="3"/>
      <c r="HD62" s="3"/>
      <c r="HE62" s="3"/>
      <c r="HF62" s="3"/>
      <c r="HG62" s="3"/>
      <c r="HH62" s="3"/>
      <c r="HI62" s="3"/>
      <c r="HJ62" s="3"/>
      <c r="HK62" s="3"/>
      <c r="HL62" s="3"/>
      <c r="HM62" s="3"/>
      <c r="HN62" s="3"/>
      <c r="HO62" s="3"/>
      <c r="HP62" s="3"/>
    </row>
    <row r="63" spans="1:224" ht="13.5" customHeight="1" thickBot="1" x14ac:dyDescent="0.3">
      <c r="A63" s="158">
        <v>0</v>
      </c>
      <c r="B63" s="10"/>
      <c r="C63" s="10">
        <v>4</v>
      </c>
      <c r="D63" s="76"/>
      <c r="E63" s="81" t="s">
        <v>119</v>
      </c>
      <c r="F63" s="80"/>
      <c r="G63" s="4" t="s">
        <v>119</v>
      </c>
      <c r="H63" s="4" t="s">
        <v>119</v>
      </c>
      <c r="I63" s="4" t="s">
        <v>119</v>
      </c>
      <c r="J63" s="4" t="s">
        <v>119</v>
      </c>
      <c r="K63" s="7"/>
      <c r="L63" s="7"/>
      <c r="M63" s="7"/>
      <c r="N63" s="7"/>
      <c r="O63" s="81" t="s">
        <v>119</v>
      </c>
      <c r="P63" s="4" t="s">
        <v>119</v>
      </c>
      <c r="Q63" s="4" t="s">
        <v>119</v>
      </c>
      <c r="R63" s="7"/>
      <c r="S63" s="7"/>
      <c r="T63" s="84"/>
      <c r="U63" s="6" t="s">
        <v>119</v>
      </c>
      <c r="V63" s="6" t="s">
        <v>119</v>
      </c>
      <c r="W63" s="90" t="str">
        <f>IF(ISERR(X63*$AC$1/375),"",(X63*$AC$1/375))</f>
        <v/>
      </c>
      <c r="X63" s="15" t="str">
        <f>IF(ISERR(((($AC$1)^2)*0.002558)*E63*$F$1),"",(((($AC$1)^2)*0.002558)*E63*$F$1))</f>
        <v/>
      </c>
      <c r="Y63" s="15"/>
      <c r="Z63" s="91"/>
      <c r="AA63" s="90" t="str">
        <f t="shared" si="59"/>
        <v/>
      </c>
      <c r="AB63" s="15" t="str">
        <f t="shared" si="59"/>
        <v/>
      </c>
      <c r="AC63" s="15" t="str">
        <f t="shared" si="59"/>
        <v/>
      </c>
      <c r="AD63" s="15" t="str">
        <f t="shared" si="59"/>
        <v/>
      </c>
      <c r="AE63" s="15"/>
      <c r="AF63" s="15"/>
      <c r="AG63" s="15"/>
      <c r="AH63" s="91"/>
      <c r="AI63" s="96" t="str">
        <f>IF(ISERR(AA63/X63),"",(AA63/X63))</f>
        <v/>
      </c>
      <c r="AJ63" s="97" t="str">
        <f>IF(ISERR(AB63/AA63),"",(AB63/AA63))</f>
        <v/>
      </c>
      <c r="AK63" s="139" t="str">
        <f>IF((ISERROR((Coeff!AB63+TestInfoPage!$B$6)/(Coeff!AA63+TestInfoPage!$B$5))),"",((Coeff!AB63+TestInfoPage!$B$6)/(Coeff!AA63+TestInfoPage!$B$5)))</f>
        <v/>
      </c>
      <c r="AL63" s="96"/>
      <c r="AM63" s="36"/>
      <c r="AN63" s="142"/>
      <c r="AO63" s="79" t="str">
        <f t="shared" si="34"/>
        <v/>
      </c>
      <c r="AP63" s="4" t="s">
        <v>119</v>
      </c>
      <c r="AQ63" s="4" t="s">
        <v>119</v>
      </c>
      <c r="AR63" s="4" t="s">
        <v>119</v>
      </c>
      <c r="AS63" s="4" t="s">
        <v>119</v>
      </c>
      <c r="AT63" s="7"/>
      <c r="AU63" s="7"/>
      <c r="AV63" s="7"/>
      <c r="AW63" s="80"/>
      <c r="AX63" s="81" t="s">
        <v>119</v>
      </c>
      <c r="AY63" s="4" t="s">
        <v>119</v>
      </c>
      <c r="AZ63" s="15"/>
      <c r="BA63" s="91"/>
      <c r="BB63" s="163" t="s">
        <v>119</v>
      </c>
      <c r="BC63" s="157" t="s">
        <v>119</v>
      </c>
      <c r="BD63" s="157" t="s">
        <v>119</v>
      </c>
      <c r="BE63" s="157" t="s">
        <v>119</v>
      </c>
      <c r="BF63" s="157" t="s">
        <v>119</v>
      </c>
      <c r="BG63" s="157" t="s">
        <v>119</v>
      </c>
      <c r="BH63" s="157" t="s">
        <v>119</v>
      </c>
      <c r="BI63" s="157" t="s">
        <v>119</v>
      </c>
      <c r="BJ63" s="157" t="s">
        <v>119</v>
      </c>
      <c r="BK63" s="157" t="s">
        <v>119</v>
      </c>
      <c r="BL63" s="157" t="s">
        <v>119</v>
      </c>
      <c r="BM63" s="157" t="s">
        <v>119</v>
      </c>
      <c r="BN63" s="157" t="s">
        <v>119</v>
      </c>
      <c r="BO63" s="157" t="s">
        <v>119</v>
      </c>
      <c r="BP63" s="157" t="s">
        <v>119</v>
      </c>
      <c r="BQ63" s="157" t="s">
        <v>119</v>
      </c>
      <c r="BR63" s="157" t="s">
        <v>119</v>
      </c>
      <c r="BS63" s="84" t="s">
        <v>119</v>
      </c>
      <c r="BT63" s="107"/>
      <c r="BU63" s="100"/>
      <c r="BV63" s="100"/>
      <c r="BW63" s="100"/>
      <c r="BX63" s="100"/>
      <c r="BY63" s="100"/>
      <c r="BZ63" s="100"/>
      <c r="CA63" s="100"/>
      <c r="CB63" s="100"/>
      <c r="CC63" s="100"/>
      <c r="CD63" s="100"/>
      <c r="CE63" s="100"/>
      <c r="CF63" s="100"/>
      <c r="CG63" s="100"/>
      <c r="CH63" s="100"/>
      <c r="CI63" s="100"/>
      <c r="CJ63" s="100"/>
      <c r="CK63" s="108"/>
      <c r="CL63" s="1"/>
    </row>
    <row r="64" spans="1:224" ht="14.25" thickBot="1" x14ac:dyDescent="0.3">
      <c r="A64" s="158" t="s">
        <v>135</v>
      </c>
      <c r="B64" s="9">
        <f>B59+1</f>
        <v>13</v>
      </c>
      <c r="C64" s="66" t="s">
        <v>56</v>
      </c>
      <c r="D64" s="75">
        <v>8</v>
      </c>
      <c r="E64" s="82">
        <f>IF(ISERR(AVERAGE(E65:E68)),"",AVERAGE(E65:E68))</f>
        <v>0.16142480629968425</v>
      </c>
      <c r="F64" s="78">
        <f>IF($D64="","",E64-VLOOKUP($D64,$B$4:$BS$990,4,FALSE))</f>
        <v>3.5373948973930203E-3</v>
      </c>
      <c r="G64" s="44">
        <f t="shared" ref="G64:Q64" si="60">IF(ISERR(AVERAGE(G65:G68)),"",AVERAGE(G65:G68))</f>
        <v>0.4613644275179643</v>
      </c>
      <c r="H64" s="8">
        <f t="shared" si="60"/>
        <v>0.47377550358895049</v>
      </c>
      <c r="I64" s="8">
        <f t="shared" si="60"/>
        <v>-1.2411076070986182E-2</v>
      </c>
      <c r="J64" s="44">
        <f>IF(ISERR(AVERAGE(J65:J68)),"",AVERAGE(J65:J68))</f>
        <v>-4.6027012053386593E-2</v>
      </c>
      <c r="K64" s="56">
        <f>IF($D64="","",G64-VLOOKUP($D64,$B$4:$BS$990,6,FALSE))</f>
        <v>5.8937242590225647E-2</v>
      </c>
      <c r="L64" s="56">
        <f>IF($D64="","",H64-VLOOKUP($D64,$B$4:$BS$990,7,FALSE))</f>
        <v>5.3703951910494263E-3</v>
      </c>
      <c r="M64" s="56">
        <f>IF($D64="","",I64-VLOOKUP($D64,$B$4:$BS$990,8,FALSE))</f>
        <v>5.3566847399176262E-2</v>
      </c>
      <c r="N64" s="74">
        <f>IF($D64="","",J64-VLOOKUP($D64,$B$4:$BS$990,9,FALSE))</f>
        <v>-5.1775877826584715E-2</v>
      </c>
      <c r="O64" s="82">
        <f t="shared" si="60"/>
        <v>0.24309328982996833</v>
      </c>
      <c r="P64" s="8">
        <f t="shared" si="60"/>
        <v>5.9566648331324211E-3</v>
      </c>
      <c r="Q64" s="8">
        <f t="shared" si="60"/>
        <v>-6.1665952532284116E-2</v>
      </c>
      <c r="R64" s="56">
        <f>IF($D64="","",O64-VLOOKUP($D64,$B$4:$BS$990,14,FALSE))</f>
        <v>-2.4098226104063453E-2</v>
      </c>
      <c r="S64" s="56">
        <f>IF($D64="","",P64-VLOOKUP($D64,$B$4:$BS$990,15,FALSE))</f>
        <v>2.3988851064589117E-2</v>
      </c>
      <c r="T64" s="78">
        <f>IF($D64="","",Q64-VLOOKUP($D64,$B$4:$BS$990,16,FALSE))</f>
        <v>-7.7940191394214597E-2</v>
      </c>
      <c r="U64" s="44">
        <f t="shared" ref="U64:AS64" si="61">IF(ISERR(AVERAGE(U65:U68)),"",AVERAGE(U65:U68))</f>
        <v>1.7461965694264676</v>
      </c>
      <c r="V64" s="11">
        <f t="shared" si="61"/>
        <v>0.33565778501197652</v>
      </c>
      <c r="W64" s="88">
        <f t="shared" si="61"/>
        <v>6.4519477267905037E-2</v>
      </c>
      <c r="X64" s="32">
        <f t="shared" si="61"/>
        <v>0.96779215901857563</v>
      </c>
      <c r="Y64" s="71">
        <f>IF($D64="","",W64-VLOOKUP($D64,$B$4:$BS$990,22,FALSE))</f>
        <v>1.4138525230517757E-3</v>
      </c>
      <c r="Z64" s="89">
        <f>IF($D64="","",X64-VLOOKUP($D64,$B$4:$BS$990,23,FALSE))</f>
        <v>2.1207787845776593E-2</v>
      </c>
      <c r="AA64" s="88">
        <f t="shared" si="61"/>
        <v>2.7660239193537954</v>
      </c>
      <c r="AB64" s="31">
        <f t="shared" si="61"/>
        <v>2.84043219886063</v>
      </c>
      <c r="AC64" s="31">
        <f t="shared" si="61"/>
        <v>-7.4408279506834346E-2</v>
      </c>
      <c r="AD64" s="32">
        <f>IF(ISERR(AVERAGE(AD65:AD68)),"",AVERAGE(AD65:AD68))</f>
        <v>-0.2759463207013193</v>
      </c>
      <c r="AE64" s="71">
        <f>IF($D64="","",AA64-VLOOKUP($D64,$B$4:$BS$990,26,FALSE))</f>
        <v>0.35334718721671265</v>
      </c>
      <c r="AF64" s="71">
        <f>IF($D64="","",AB64-VLOOKUP($D64,$B$4:$BS$990,27,FALSE))</f>
        <v>3.2197197418839085E-2</v>
      </c>
      <c r="AG64" s="92">
        <f>IF($D64="","",AC64-VLOOKUP($D64,$B$4:$BS$990,28,FALSE))</f>
        <v>0.3211499897978739</v>
      </c>
      <c r="AH64" s="89">
        <f>IF($D64="","",AD64-VLOOKUP($D64,$B$4:$BS$990,29,FALSE))</f>
        <v>-0.31041256753219615</v>
      </c>
      <c r="AI64" s="95">
        <f t="shared" si="61"/>
        <v>2.8573870403296366</v>
      </c>
      <c r="AJ64" s="35">
        <f t="shared" si="61"/>
        <v>1.0312952455182955</v>
      </c>
      <c r="AK64" s="138">
        <f>IF((ISERROR((Coeff!AB64+TestInfoPage!$B$6)/(Coeff!AA64+TestInfoPage!$B$5))),"",((Coeff!AB64+TestInfoPage!$B$6)/(Coeff!AA64+TestInfoPage!$B$5)))</f>
        <v>1.0269008084081275</v>
      </c>
      <c r="AL64" s="135">
        <f>IF($D64="","",AI64-VLOOKUP($D64,$B$4:$BS$990,34,FALSE))</f>
        <v>0.30826413593177149</v>
      </c>
      <c r="AM64" s="72">
        <f>IF($D64="","",AJ64-VLOOKUP($D64,$B$4:$BS$990,35,FALSE))</f>
        <v>-0.13376294744625583</v>
      </c>
      <c r="AN64" s="115">
        <f>IF($D64="","",AK64-VLOOKUP($D64,$B$4:$BS$990,36,FALSE))</f>
        <v>-0.13704915804856133</v>
      </c>
      <c r="AO64" s="134">
        <f t="shared" si="34"/>
        <v>1.3976135975616253E-2</v>
      </c>
      <c r="AP64" s="44">
        <f t="shared" si="61"/>
        <v>1.3976135975616253E-2</v>
      </c>
      <c r="AQ64" s="8" t="str">
        <f t="shared" si="61"/>
        <v/>
      </c>
      <c r="AR64" s="11" t="str">
        <f t="shared" si="61"/>
        <v/>
      </c>
      <c r="AS64" s="11" t="str">
        <f t="shared" si="61"/>
        <v/>
      </c>
      <c r="AT64" s="56" t="str">
        <f>IF(ISERR(AP64-VLOOKUP($D64,$B$4:$BS$990,41,FALSE)),"",(AP64-VLOOKUP($D64,$B$4:$BS$990,41,FALSE)))</f>
        <v/>
      </c>
      <c r="AU64" s="56" t="str">
        <f>IF(ISERR(AQ64-VLOOKUP($D64,$B$4:$BS$990,42,FALSE)),"",(AQ64-VLOOKUP($D64,$B$4:$BS$990,42,FALSE)))</f>
        <v/>
      </c>
      <c r="AV64" s="74" t="str">
        <f>IF(ISERR(AR64-VLOOKUP($D64,$B$4:$BS$990,43,FALSE)),"",AR64-VLOOKUP($D64,$B$4:$BS$990,43,FALSE))</f>
        <v/>
      </c>
      <c r="AW64" s="74" t="str">
        <f>IF(ISERR(AS64-VLOOKUP($D64,$B$4:$BS$990,44,FALSE)),"",AS64-VLOOKUP($D64,$B$4:$BS$990,44,FALSE))</f>
        <v/>
      </c>
      <c r="AX64" s="82">
        <f t="shared" ref="AX64:AY64" si="62">IF(ISERR(AVERAGE(AX65:AX68)),"",AVERAGE(AX65:AX68))</f>
        <v>1.2068577978061903E-2</v>
      </c>
      <c r="AY64" s="11">
        <f t="shared" si="62"/>
        <v>2.3367856090746972E-2</v>
      </c>
      <c r="AZ64" s="89">
        <f>IF(ISERR(AX64-VLOOKUP($D64,$B$4:$BS$990,49,FALSE)),"",(AX64-VLOOKUP($D64,$B$4:$BS$990,49,FALSE)))</f>
        <v>-7.6222928695725972E-3</v>
      </c>
      <c r="BA64" s="89" t="str">
        <f>IF(ISERR(AY64-VLOOKUP($D64,$B$4:$BS$990,50,FALSE)),"",(AY64-VLOOKUP($D64,$B$4:$BS$990,50,FALSE)))</f>
        <v/>
      </c>
      <c r="BB64" s="82">
        <f t="shared" ref="BB64:BS64" si="63">IF(ISERR(AVERAGE(BB65:BB68)),"",AVERAGE(BB65:BB68))</f>
        <v>-8.4850101353090124E-2</v>
      </c>
      <c r="BC64" s="8">
        <f t="shared" si="63"/>
        <v>-8.4246500578167266E-2</v>
      </c>
      <c r="BD64" s="8">
        <f t="shared" si="63"/>
        <v>-8.4617673927043863E-2</v>
      </c>
      <c r="BE64" s="8">
        <f t="shared" si="63"/>
        <v>-7.8238184698945001E-2</v>
      </c>
      <c r="BF64" s="8">
        <f t="shared" si="63"/>
        <v>-8.5954802836592487E-2</v>
      </c>
      <c r="BG64" s="8">
        <f t="shared" si="63"/>
        <v>-7.3608475845758595E-2</v>
      </c>
      <c r="BH64" s="8">
        <f t="shared" si="63"/>
        <v>-8.5521005384382925E-2</v>
      </c>
      <c r="BI64" s="8">
        <f t="shared" si="63"/>
        <v>-8.3378640300661735E-2</v>
      </c>
      <c r="BJ64" s="8">
        <f t="shared" si="63"/>
        <v>-8.5251291006856661E-2</v>
      </c>
      <c r="BK64" s="8">
        <f t="shared" si="63"/>
        <v>-8.6293017592179028E-2</v>
      </c>
      <c r="BL64" s="8">
        <f t="shared" si="63"/>
        <v>-8.6242463931679586E-2</v>
      </c>
      <c r="BM64" s="8">
        <f t="shared" si="63"/>
        <v>-9.079858457762334E-2</v>
      </c>
      <c r="BN64" s="8">
        <f t="shared" si="63"/>
        <v>-8.4067683489873674E-2</v>
      </c>
      <c r="BO64" s="8">
        <f t="shared" si="63"/>
        <v>-7.8043447643346184E-2</v>
      </c>
      <c r="BP64" s="8">
        <f t="shared" si="63"/>
        <v>-8.4856694196755816E-2</v>
      </c>
      <c r="BQ64" s="8">
        <f t="shared" si="63"/>
        <v>-8.5589466212896856E-2</v>
      </c>
      <c r="BR64" s="8">
        <f t="shared" si="63"/>
        <v>-8.2850098246699241E-2</v>
      </c>
      <c r="BS64" s="103">
        <f t="shared" si="63"/>
        <v>-5.9572190950718862E-2</v>
      </c>
      <c r="BT64" s="106">
        <f>IF($D64="","",BB64-VLOOKUP($D64,$B$4:$BS$990,53,FALSE))</f>
        <v>5.4457267260479697E-3</v>
      </c>
      <c r="BU64" s="56">
        <f>IF($D64="","",BC64-VLOOKUP($D64,$B$4:$BS$990,54,FALSE))</f>
        <v>5.7613901165910475E-3</v>
      </c>
      <c r="BV64" s="56">
        <f>IF($D64="","",BD64-VLOOKUP($D64,$B$4:$BS$990,55,FALSE))</f>
        <v>-2.3577986313414317E-3</v>
      </c>
      <c r="BW64" s="56">
        <f>IF($D64="","",BE64-VLOOKUP($D64,$B$4:$BS$990,56,FALSE))</f>
        <v>1.0409594709484493E-2</v>
      </c>
      <c r="BX64" s="56">
        <f>IF($D64="","",BF64-VLOOKUP($D64,$B$4:$BS$990,57,FALSE))</f>
        <v>4.0929385308922789E-3</v>
      </c>
      <c r="BY64" s="56">
        <f>IF($D64="","",BG64-VLOOKUP($D64,$B$4:$BS$990,58,FALSE))</f>
        <v>9.770477839970218E-3</v>
      </c>
      <c r="BZ64" s="56">
        <f>IF($D64="","",BH64-VLOOKUP($D64,$B$4:$BS$990,59,FALSE))</f>
        <v>8.606534556658274E-4</v>
      </c>
      <c r="CA64" s="56">
        <f>IF($D64="","",BI64-VLOOKUP($D64,$B$4:$BS$990,60,FALSE))</f>
        <v>1.1684385701586641E-4</v>
      </c>
      <c r="CB64" s="56">
        <f>IF($D64="","",BJ64-VLOOKUP($D64,$B$4:$BS$990,61,FALSE))</f>
        <v>2.2575154647133666E-4</v>
      </c>
      <c r="CC64" s="56">
        <f>IF($D64="","",BK64-VLOOKUP($D64,$B$4:$BS$990,62,FALSE))</f>
        <v>-2.8227161354660579E-3</v>
      </c>
      <c r="CD64" s="56">
        <f>IF($D64="","",BL64-VLOOKUP($D64,$B$4:$BS$990,63,FALSE))</f>
        <v>2.984274919289015E-3</v>
      </c>
      <c r="CE64" s="56">
        <f>IF($D64="","",BM64-VLOOKUP($D64,$B$4:$BS$990,64,FALSE))</f>
        <v>-9.4140825763103231E-4</v>
      </c>
      <c r="CF64" s="56">
        <f>IF($D64="","",BN64-VLOOKUP($D64,$B$4:$BS$990,65,FALSE))</f>
        <v>-9.9048133420148732E-4</v>
      </c>
      <c r="CG64" s="56">
        <f>IF($D64="","",BO64-VLOOKUP($D64,$B$4:$BS$990,66,FALSE))</f>
        <v>7.163532309866924E-3</v>
      </c>
      <c r="CH64" s="56">
        <f>IF($D64="","",BP64-VLOOKUP($D64,$B$4:$BS$990,67,FALSE))</f>
        <v>7.2222991558461846E-3</v>
      </c>
      <c r="CI64" s="56">
        <f>IF($D64="","",BQ64-VLOOKUP($D64,$B$4:$BS$990,68,FALSE))</f>
        <v>4.8422067272185926E-3</v>
      </c>
      <c r="CJ64" s="56">
        <f>IF($D64="","",BR64-VLOOKUP($D64,$B$4:$BS$990,69,FALSE))</f>
        <v>-3.913791850616466E-3</v>
      </c>
      <c r="CK64" s="78">
        <f>IF($D64="","",BS64-VLOOKUP($D64,$B$4:$BS$990,70,FALSE))</f>
        <v>6.1335044468312783E-3</v>
      </c>
      <c r="CL64" s="1"/>
    </row>
    <row r="65" spans="1:90" x14ac:dyDescent="0.25">
      <c r="A65" s="158">
        <v>0</v>
      </c>
      <c r="B65" s="10"/>
      <c r="C65" s="10">
        <v>1</v>
      </c>
      <c r="D65" s="76"/>
      <c r="E65" s="79">
        <v>0.16214356410217773</v>
      </c>
      <c r="F65" s="80"/>
      <c r="G65" s="7">
        <v>0.48840996876159165</v>
      </c>
      <c r="H65" s="7">
        <v>0.46708180390229259</v>
      </c>
      <c r="I65" s="7">
        <v>2.1328164859299087E-2</v>
      </c>
      <c r="J65" s="7">
        <v>-4.772912600023646E-2</v>
      </c>
      <c r="K65" s="7"/>
      <c r="L65" s="7"/>
      <c r="M65" s="7"/>
      <c r="N65" s="7"/>
      <c r="O65" s="79">
        <v>0.22287681952149674</v>
      </c>
      <c r="P65" s="7">
        <v>2.4651747644781827E-2</v>
      </c>
      <c r="Q65" s="7">
        <v>-6.7320041013664123E-2</v>
      </c>
      <c r="R65" s="7"/>
      <c r="S65" s="7"/>
      <c r="T65" s="80"/>
      <c r="U65" s="6">
        <v>1.748296588452882</v>
      </c>
      <c r="V65" s="6">
        <v>0.33606145533594289</v>
      </c>
      <c r="W65" s="90">
        <f>IF(ISERR(X65*$AC$1/375),"",(X65*$AC$1/375))</f>
        <v>6.4806755777089151E-2</v>
      </c>
      <c r="X65" s="15">
        <f>IF(ISERR(((($AC$1)^2)*0.002558)*E65*$F$1),"",(((($AC$1)^2)*0.002558)*E65*$F$1))</f>
        <v>0.97210133665633724</v>
      </c>
      <c r="Y65" s="15"/>
      <c r="Z65" s="91"/>
      <c r="AA65" s="90">
        <f t="shared" ref="AA65:AD68" si="64">IF(ISERR(((($AC$1)^2)*0.002558)*G65*$F$1),"",(((($AC$1)^2)*0.002558)*G65*$F$1))</f>
        <v>2.9281703908409797</v>
      </c>
      <c r="AB65" s="15">
        <f t="shared" si="64"/>
        <v>2.8003013774579637</v>
      </c>
      <c r="AC65" s="15">
        <f t="shared" si="64"/>
        <v>0.12786901338301654</v>
      </c>
      <c r="AD65" s="15">
        <f t="shared" si="64"/>
        <v>-0.28615102572329265</v>
      </c>
      <c r="AE65" s="132"/>
      <c r="AF65" s="132"/>
      <c r="AG65" s="132"/>
      <c r="AH65" s="133"/>
      <c r="AI65" s="96">
        <f>IF(ISERR(AA65/X65),"",(AA65/X65))</f>
        <v>3.0122069381292942</v>
      </c>
      <c r="AJ65" s="36">
        <f>IF(ISERR(AB65/AA65),"",(AB65/AA65))</f>
        <v>0.95633143010291433</v>
      </c>
      <c r="AK65" s="139">
        <f>IF((ISERROR((Coeff!AB65+TestInfoPage!$B$6)/(Coeff!AA65+TestInfoPage!$B$5))),"",((Coeff!AB65+TestInfoPage!$B$6)/(Coeff!AA65+TestInfoPage!$B$5)))</f>
        <v>0.95633143010291433</v>
      </c>
      <c r="AL65" s="96"/>
      <c r="AM65" s="36"/>
      <c r="AN65" s="142"/>
      <c r="AO65" s="79" t="str">
        <f t="shared" si="34"/>
        <v/>
      </c>
      <c r="AP65" s="4" t="s">
        <v>119</v>
      </c>
      <c r="AQ65" s="4" t="s">
        <v>119</v>
      </c>
      <c r="AR65" s="4" t="s">
        <v>119</v>
      </c>
      <c r="AS65" s="4" t="s">
        <v>119</v>
      </c>
      <c r="AT65" s="128"/>
      <c r="AU65" s="128"/>
      <c r="AV65" s="128"/>
      <c r="AW65" s="129"/>
      <c r="AX65" s="81">
        <v>1.2068577978061903E-2</v>
      </c>
      <c r="AY65" s="4" t="s">
        <v>119</v>
      </c>
      <c r="AZ65" s="15"/>
      <c r="BA65" s="91"/>
      <c r="BB65" s="162">
        <v>-8.3980808285910563E-2</v>
      </c>
      <c r="BC65" s="128">
        <v>-8.3249010477162724E-2</v>
      </c>
      <c r="BD65" s="128">
        <v>-8.6166806860224571E-2</v>
      </c>
      <c r="BE65" s="128">
        <v>-7.5920648083869252E-2</v>
      </c>
      <c r="BF65" s="128">
        <v>-8.5742032094980325E-2</v>
      </c>
      <c r="BG65" s="128">
        <v>-7.3776803488424234E-2</v>
      </c>
      <c r="BH65" s="128">
        <v>-8.4413738190737581E-2</v>
      </c>
      <c r="BI65" s="128">
        <v>-8.6678401334556343E-2</v>
      </c>
      <c r="BJ65" s="128">
        <v>-8.4590382399228642E-2</v>
      </c>
      <c r="BK65" s="128">
        <v>-8.4965205367217467E-2</v>
      </c>
      <c r="BL65" s="128">
        <v>-8.6576905334819682E-2</v>
      </c>
      <c r="BM65" s="128">
        <v>-8.8068965729951917E-2</v>
      </c>
      <c r="BN65" s="128">
        <v>-8.6348839177092462E-2</v>
      </c>
      <c r="BO65" s="128">
        <v>-7.6829117257582388E-2</v>
      </c>
      <c r="BP65" s="128">
        <v>-8.3447351459284697E-2</v>
      </c>
      <c r="BQ65" s="128">
        <v>-8.8684652822548685E-2</v>
      </c>
      <c r="BR65" s="128">
        <v>-8.158916091945595E-2</v>
      </c>
      <c r="BS65" s="129">
        <v>-6.4560212475400211E-2</v>
      </c>
      <c r="BT65" s="107"/>
      <c r="BU65" s="100"/>
      <c r="BV65" s="100"/>
      <c r="BW65" s="100"/>
      <c r="BX65" s="100"/>
      <c r="BY65" s="100"/>
      <c r="BZ65" s="100"/>
      <c r="CA65" s="100"/>
      <c r="CB65" s="100"/>
      <c r="CC65" s="100"/>
      <c r="CD65" s="100"/>
      <c r="CE65" s="100"/>
      <c r="CF65" s="100"/>
      <c r="CG65" s="100"/>
      <c r="CH65" s="100"/>
      <c r="CI65" s="100"/>
      <c r="CJ65" s="100"/>
      <c r="CK65" s="108"/>
      <c r="CL65" s="1"/>
    </row>
    <row r="66" spans="1:90" x14ac:dyDescent="0.25">
      <c r="A66" s="158">
        <v>0</v>
      </c>
      <c r="B66" s="10"/>
      <c r="C66" s="10">
        <v>2</v>
      </c>
      <c r="D66" s="76"/>
      <c r="E66" s="81">
        <v>0.16070604849719075</v>
      </c>
      <c r="F66" s="80"/>
      <c r="G66" s="4">
        <v>0.43431888627433696</v>
      </c>
      <c r="H66" s="4">
        <v>0.48046920327560838</v>
      </c>
      <c r="I66" s="4">
        <v>-4.6150317001271451E-2</v>
      </c>
      <c r="J66" s="4">
        <v>-4.4324898106536725E-2</v>
      </c>
      <c r="K66" s="7"/>
      <c r="L66" s="7"/>
      <c r="M66" s="7"/>
      <c r="N66" s="7"/>
      <c r="O66" s="81">
        <v>0.26330976013843993</v>
      </c>
      <c r="P66" s="4">
        <v>-1.2738417978516985E-2</v>
      </c>
      <c r="Q66" s="4">
        <v>-5.6011864050904109E-2</v>
      </c>
      <c r="R66" s="7"/>
      <c r="S66" s="7"/>
      <c r="T66" s="80"/>
      <c r="U66" s="6">
        <v>1.7440965504000532</v>
      </c>
      <c r="V66" s="6">
        <v>0.3352541146880102</v>
      </c>
      <c r="W66" s="90">
        <f>IF(ISERR(X66*$AC$1/375),"",(X66*$AC$1/375))</f>
        <v>6.4232198758720924E-2</v>
      </c>
      <c r="X66" s="15">
        <f>IF(ISERR(((($AC$1)^2)*0.002558)*E66*$F$1),"",(((($AC$1)^2)*0.002558)*E66*$F$1))</f>
        <v>0.9634829813808139</v>
      </c>
      <c r="Y66" s="15"/>
      <c r="Z66" s="91"/>
      <c r="AA66" s="90">
        <f t="shared" si="64"/>
        <v>2.6038774478666107</v>
      </c>
      <c r="AB66" s="15">
        <f t="shared" si="64"/>
        <v>2.8805630202632959</v>
      </c>
      <c r="AC66" s="15">
        <f t="shared" si="64"/>
        <v>-0.27668557239668523</v>
      </c>
      <c r="AD66" s="15">
        <f t="shared" si="64"/>
        <v>-0.2657416156793459</v>
      </c>
      <c r="AE66" s="15"/>
      <c r="AF66" s="15"/>
      <c r="AG66" s="15"/>
      <c r="AH66" s="91"/>
      <c r="AI66" s="96">
        <f>IF(ISERR(AA66/X66),"",(AA66/X66))</f>
        <v>2.7025671425299786</v>
      </c>
      <c r="AJ66" s="97">
        <f>IF(ISERR(AB66/AA66),"",(AB66/AA66))</f>
        <v>1.1062590609336769</v>
      </c>
      <c r="AK66" s="139">
        <f>IF((ISERROR((Coeff!AB66+TestInfoPage!$B$6)/(Coeff!AA66+TestInfoPage!$B$5))),"",((Coeff!AB66+TestInfoPage!$B$6)/(Coeff!AA66+TestInfoPage!$B$5)))</f>
        <v>1.1062590609336769</v>
      </c>
      <c r="AL66" s="96"/>
      <c r="AM66" s="36"/>
      <c r="AN66" s="142"/>
      <c r="AO66" s="79">
        <f t="shared" si="34"/>
        <v>1.3976135975616253E-2</v>
      </c>
      <c r="AP66" s="4">
        <v>1.3976135975616253E-2</v>
      </c>
      <c r="AQ66" s="4" t="s">
        <v>119</v>
      </c>
      <c r="AR66" s="4" t="s">
        <v>119</v>
      </c>
      <c r="AS66" s="4" t="s">
        <v>119</v>
      </c>
      <c r="AT66" s="7"/>
      <c r="AU66" s="7"/>
      <c r="AV66" s="7"/>
      <c r="AW66" s="80"/>
      <c r="AX66" s="81" t="s">
        <v>119</v>
      </c>
      <c r="AY66" s="4">
        <v>2.3367856090746972E-2</v>
      </c>
      <c r="AZ66" s="15"/>
      <c r="BA66" s="91"/>
      <c r="BB66" s="79">
        <v>-8.5719394420269671E-2</v>
      </c>
      <c r="BC66" s="7">
        <v>-8.5243990679171822E-2</v>
      </c>
      <c r="BD66" s="7">
        <v>-8.3068540993863141E-2</v>
      </c>
      <c r="BE66" s="7">
        <v>-8.0555721314020751E-2</v>
      </c>
      <c r="BF66" s="7">
        <v>-8.6167573578204648E-2</v>
      </c>
      <c r="BG66" s="7">
        <v>-7.3440148203092956E-2</v>
      </c>
      <c r="BH66" s="7">
        <v>-8.662827257802827E-2</v>
      </c>
      <c r="BI66" s="7">
        <v>-8.0078879266767128E-2</v>
      </c>
      <c r="BJ66" s="7">
        <v>-8.591219961448468E-2</v>
      </c>
      <c r="BK66" s="7">
        <v>-8.7620829817140602E-2</v>
      </c>
      <c r="BL66" s="7">
        <v>-8.5908022528539491E-2</v>
      </c>
      <c r="BM66" s="7">
        <v>-9.3528203425294762E-2</v>
      </c>
      <c r="BN66" s="7">
        <v>-8.1786527802654885E-2</v>
      </c>
      <c r="BO66" s="7">
        <v>-7.9257778029109979E-2</v>
      </c>
      <c r="BP66" s="7">
        <v>-8.626603693422695E-2</v>
      </c>
      <c r="BQ66" s="7">
        <v>-8.2494279603245027E-2</v>
      </c>
      <c r="BR66" s="7">
        <v>-8.4111035573942533E-2</v>
      </c>
      <c r="BS66" s="80">
        <v>-5.4584169426037506E-2</v>
      </c>
      <c r="BT66" s="107"/>
      <c r="BU66" s="100"/>
      <c r="BV66" s="100"/>
      <c r="BW66" s="100"/>
      <c r="BX66" s="100"/>
      <c r="BY66" s="100"/>
      <c r="BZ66" s="100"/>
      <c r="CA66" s="100"/>
      <c r="CB66" s="100"/>
      <c r="CC66" s="100"/>
      <c r="CD66" s="100"/>
      <c r="CE66" s="100"/>
      <c r="CF66" s="100"/>
      <c r="CG66" s="100"/>
      <c r="CH66" s="100"/>
      <c r="CI66" s="100"/>
      <c r="CJ66" s="100"/>
      <c r="CK66" s="108"/>
      <c r="CL66" s="1"/>
    </row>
    <row r="67" spans="1:90" ht="13.5" customHeight="1" x14ac:dyDescent="0.25">
      <c r="A67" s="158">
        <v>0</v>
      </c>
      <c r="B67" s="10"/>
      <c r="C67" s="10">
        <v>3</v>
      </c>
      <c r="D67" s="76"/>
      <c r="E67" s="81" t="s">
        <v>119</v>
      </c>
      <c r="F67" s="80"/>
      <c r="G67" s="4" t="s">
        <v>119</v>
      </c>
      <c r="H67" s="4" t="s">
        <v>119</v>
      </c>
      <c r="I67" s="4" t="s">
        <v>119</v>
      </c>
      <c r="J67" s="4" t="s">
        <v>119</v>
      </c>
      <c r="K67" s="7"/>
      <c r="L67" s="7"/>
      <c r="M67" s="7"/>
      <c r="N67" s="7"/>
      <c r="O67" s="81" t="s">
        <v>119</v>
      </c>
      <c r="P67" s="4" t="s">
        <v>119</v>
      </c>
      <c r="Q67" s="4" t="s">
        <v>119</v>
      </c>
      <c r="R67" s="7"/>
      <c r="S67" s="7"/>
      <c r="T67" s="80"/>
      <c r="U67" s="6" t="s">
        <v>119</v>
      </c>
      <c r="V67" s="6" t="s">
        <v>119</v>
      </c>
      <c r="W67" s="90" t="str">
        <f>IF(ISERR(X67*$AC$1/375),"",(X67*$AC$1/375))</f>
        <v/>
      </c>
      <c r="X67" s="15" t="str">
        <f>IF(ISERR(((($AC$1)^2)*0.002558)*E67*$F$1),"",(((($AC$1)^2)*0.002558)*E67*$F$1))</f>
        <v/>
      </c>
      <c r="Y67" s="15"/>
      <c r="Z67" s="91"/>
      <c r="AA67" s="90" t="str">
        <f t="shared" si="64"/>
        <v/>
      </c>
      <c r="AB67" s="15" t="str">
        <f t="shared" si="64"/>
        <v/>
      </c>
      <c r="AC67" s="15" t="str">
        <f t="shared" si="64"/>
        <v/>
      </c>
      <c r="AD67" s="15" t="str">
        <f t="shared" si="64"/>
        <v/>
      </c>
      <c r="AE67" s="15"/>
      <c r="AF67" s="15"/>
      <c r="AG67" s="15"/>
      <c r="AH67" s="91"/>
      <c r="AI67" s="96" t="str">
        <f>IF(ISERR(AA67/X67),"",(AA67/X67))</f>
        <v/>
      </c>
      <c r="AJ67" s="97" t="str">
        <f>IF(ISERR(AB67/AA67),"",(AB67/AA67))</f>
        <v/>
      </c>
      <c r="AK67" s="139" t="str">
        <f>IF((ISERROR((Coeff!AB67+TestInfoPage!$B$6)/(Coeff!AA67+TestInfoPage!$B$5))),"",((Coeff!AB67+TestInfoPage!$B$6)/(Coeff!AA67+TestInfoPage!$B$5)))</f>
        <v/>
      </c>
      <c r="AL67" s="96"/>
      <c r="AM67" s="36"/>
      <c r="AN67" s="142"/>
      <c r="AO67" s="79" t="str">
        <f t="shared" si="34"/>
        <v/>
      </c>
      <c r="AP67" s="4" t="s">
        <v>119</v>
      </c>
      <c r="AQ67" s="4" t="s">
        <v>119</v>
      </c>
      <c r="AR67" s="4" t="s">
        <v>119</v>
      </c>
      <c r="AS67" s="4" t="s">
        <v>119</v>
      </c>
      <c r="AT67" s="7"/>
      <c r="AU67" s="7"/>
      <c r="AV67" s="7"/>
      <c r="AW67" s="80"/>
      <c r="AX67" s="81" t="s">
        <v>119</v>
      </c>
      <c r="AY67" s="4" t="s">
        <v>119</v>
      </c>
      <c r="AZ67" s="15"/>
      <c r="BA67" s="91"/>
      <c r="BB67" s="79" t="s">
        <v>119</v>
      </c>
      <c r="BC67" s="7" t="s">
        <v>119</v>
      </c>
      <c r="BD67" s="7" t="s">
        <v>119</v>
      </c>
      <c r="BE67" s="7" t="s">
        <v>119</v>
      </c>
      <c r="BF67" s="7" t="s">
        <v>119</v>
      </c>
      <c r="BG67" s="7" t="s">
        <v>119</v>
      </c>
      <c r="BH67" s="7" t="s">
        <v>119</v>
      </c>
      <c r="BI67" s="7" t="s">
        <v>119</v>
      </c>
      <c r="BJ67" s="7" t="s">
        <v>119</v>
      </c>
      <c r="BK67" s="7" t="s">
        <v>119</v>
      </c>
      <c r="BL67" s="7" t="s">
        <v>119</v>
      </c>
      <c r="BM67" s="7" t="s">
        <v>119</v>
      </c>
      <c r="BN67" s="7" t="s">
        <v>119</v>
      </c>
      <c r="BO67" s="7" t="s">
        <v>119</v>
      </c>
      <c r="BP67" s="7" t="s">
        <v>119</v>
      </c>
      <c r="BQ67" s="7" t="s">
        <v>119</v>
      </c>
      <c r="BR67" s="7" t="s">
        <v>119</v>
      </c>
      <c r="BS67" s="80" t="s">
        <v>119</v>
      </c>
      <c r="BT67" s="107"/>
      <c r="BU67" s="100"/>
      <c r="BV67" s="100"/>
      <c r="BW67" s="100"/>
      <c r="BX67" s="100"/>
      <c r="BY67" s="100"/>
      <c r="BZ67" s="100"/>
      <c r="CA67" s="100"/>
      <c r="CB67" s="100"/>
      <c r="CC67" s="100"/>
      <c r="CD67" s="100"/>
      <c r="CE67" s="100"/>
      <c r="CF67" s="100"/>
      <c r="CG67" s="100"/>
      <c r="CH67" s="100"/>
      <c r="CI67" s="100"/>
      <c r="CJ67" s="100"/>
      <c r="CK67" s="108"/>
      <c r="CL67" s="1"/>
    </row>
    <row r="68" spans="1:90" ht="13.5" customHeight="1" thickBot="1" x14ac:dyDescent="0.3">
      <c r="A68" s="158">
        <v>0</v>
      </c>
      <c r="B68" s="10"/>
      <c r="C68" s="10">
        <v>4</v>
      </c>
      <c r="D68" s="76"/>
      <c r="E68" s="81" t="s">
        <v>119</v>
      </c>
      <c r="F68" s="80"/>
      <c r="G68" s="4" t="s">
        <v>119</v>
      </c>
      <c r="H68" s="4" t="s">
        <v>119</v>
      </c>
      <c r="I68" s="4" t="s">
        <v>119</v>
      </c>
      <c r="J68" s="4" t="s">
        <v>119</v>
      </c>
      <c r="K68" s="7"/>
      <c r="L68" s="7"/>
      <c r="M68" s="7"/>
      <c r="N68" s="7"/>
      <c r="O68" s="81" t="s">
        <v>119</v>
      </c>
      <c r="P68" s="4" t="s">
        <v>119</v>
      </c>
      <c r="Q68" s="4" t="s">
        <v>119</v>
      </c>
      <c r="R68" s="7"/>
      <c r="S68" s="7"/>
      <c r="T68" s="84"/>
      <c r="U68" s="6" t="s">
        <v>119</v>
      </c>
      <c r="V68" s="6" t="s">
        <v>119</v>
      </c>
      <c r="W68" s="90" t="str">
        <f>IF(ISERR(X68*$AC$1/375),"",(X68*$AC$1/375))</f>
        <v/>
      </c>
      <c r="X68" s="15" t="str">
        <f>IF(ISERR(((($AC$1)^2)*0.002558)*E68*$F$1),"",(((($AC$1)^2)*0.002558)*E68*$F$1))</f>
        <v/>
      </c>
      <c r="Y68" s="15"/>
      <c r="Z68" s="91"/>
      <c r="AA68" s="90" t="str">
        <f t="shared" si="64"/>
        <v/>
      </c>
      <c r="AB68" s="15" t="str">
        <f t="shared" si="64"/>
        <v/>
      </c>
      <c r="AC68" s="15" t="str">
        <f t="shared" si="64"/>
        <v/>
      </c>
      <c r="AD68" s="15" t="str">
        <f t="shared" si="64"/>
        <v/>
      </c>
      <c r="AE68" s="15"/>
      <c r="AF68" s="15"/>
      <c r="AG68" s="15"/>
      <c r="AH68" s="91"/>
      <c r="AI68" s="96" t="str">
        <f>IF(ISERR(AA68/X68),"",(AA68/X68))</f>
        <v/>
      </c>
      <c r="AJ68" s="97" t="str">
        <f>IF(ISERR(AB68/AA68),"",(AB68/AA68))</f>
        <v/>
      </c>
      <c r="AK68" s="139" t="str">
        <f>IF((ISERROR((Coeff!AB68+TestInfoPage!$B$6)/(Coeff!AA68+TestInfoPage!$B$5))),"",((Coeff!AB68+TestInfoPage!$B$6)/(Coeff!AA68+TestInfoPage!$B$5)))</f>
        <v/>
      </c>
      <c r="AL68" s="96"/>
      <c r="AM68" s="36"/>
      <c r="AN68" s="142"/>
      <c r="AO68" s="79" t="str">
        <f t="shared" ref="AO68:AO99" si="65">IF(ISERR(AVERAGE(AP68:AS68)),"",AVERAGE(AP68:AS68))</f>
        <v/>
      </c>
      <c r="AP68" s="4" t="s">
        <v>119</v>
      </c>
      <c r="AQ68" s="4" t="s">
        <v>119</v>
      </c>
      <c r="AR68" s="4" t="s">
        <v>119</v>
      </c>
      <c r="AS68" s="4" t="s">
        <v>119</v>
      </c>
      <c r="AT68" s="7"/>
      <c r="AU68" s="7"/>
      <c r="AV68" s="7"/>
      <c r="AW68" s="80"/>
      <c r="AX68" s="81" t="s">
        <v>119</v>
      </c>
      <c r="AY68" s="4" t="s">
        <v>119</v>
      </c>
      <c r="AZ68" s="15"/>
      <c r="BA68" s="91"/>
      <c r="BB68" s="163" t="s">
        <v>119</v>
      </c>
      <c r="BC68" s="157" t="s">
        <v>119</v>
      </c>
      <c r="BD68" s="157" t="s">
        <v>119</v>
      </c>
      <c r="BE68" s="157" t="s">
        <v>119</v>
      </c>
      <c r="BF68" s="157" t="s">
        <v>119</v>
      </c>
      <c r="BG68" s="157" t="s">
        <v>119</v>
      </c>
      <c r="BH68" s="157" t="s">
        <v>119</v>
      </c>
      <c r="BI68" s="157" t="s">
        <v>119</v>
      </c>
      <c r="BJ68" s="157" t="s">
        <v>119</v>
      </c>
      <c r="BK68" s="157" t="s">
        <v>119</v>
      </c>
      <c r="BL68" s="157" t="s">
        <v>119</v>
      </c>
      <c r="BM68" s="157" t="s">
        <v>119</v>
      </c>
      <c r="BN68" s="157" t="s">
        <v>119</v>
      </c>
      <c r="BO68" s="157" t="s">
        <v>119</v>
      </c>
      <c r="BP68" s="157" t="s">
        <v>119</v>
      </c>
      <c r="BQ68" s="157" t="s">
        <v>119</v>
      </c>
      <c r="BR68" s="157" t="s">
        <v>119</v>
      </c>
      <c r="BS68" s="84" t="s">
        <v>119</v>
      </c>
      <c r="BT68" s="107"/>
      <c r="BU68" s="100"/>
      <c r="BV68" s="100"/>
      <c r="BW68" s="100"/>
      <c r="BX68" s="100"/>
      <c r="BY68" s="100"/>
      <c r="BZ68" s="100"/>
      <c r="CA68" s="100"/>
      <c r="CB68" s="100"/>
      <c r="CC68" s="100"/>
      <c r="CD68" s="100"/>
      <c r="CE68" s="100"/>
      <c r="CF68" s="100"/>
      <c r="CG68" s="100"/>
      <c r="CH68" s="100"/>
      <c r="CI68" s="100"/>
      <c r="CJ68" s="100"/>
      <c r="CK68" s="108"/>
      <c r="CL68" s="1"/>
    </row>
    <row r="69" spans="1:90" ht="14.25" thickBot="1" x14ac:dyDescent="0.3">
      <c r="A69" s="158" t="s">
        <v>136</v>
      </c>
      <c r="B69" s="9">
        <f>B64+1</f>
        <v>14</v>
      </c>
      <c r="C69" s="66" t="s">
        <v>56</v>
      </c>
      <c r="D69" s="75"/>
      <c r="E69" s="82">
        <f>IF(ISERR(AVERAGE(E70:E73)),"",AVERAGE(E70:E73))</f>
        <v>0.3281774939295044</v>
      </c>
      <c r="F69" s="78" t="str">
        <f>IF($D69="","",E69-VLOOKUP($D69,$B$4:$BS$990,4,FALSE))</f>
        <v/>
      </c>
      <c r="G69" s="44">
        <f t="shared" ref="G69:Q69" si="66">IF(ISERR(AVERAGE(G70:G73)),"",AVERAGE(G70:G73))</f>
        <v>0.85080189066342526</v>
      </c>
      <c r="H69" s="8">
        <f t="shared" si="66"/>
        <v>0.66297963045337938</v>
      </c>
      <c r="I69" s="8">
        <f t="shared" si="66"/>
        <v>0.1878222602100458</v>
      </c>
      <c r="J69" s="44">
        <f>IF(ISERR(AVERAGE(J70:J73)),"",AVERAGE(J70:J73))</f>
        <v>-0.63569587378729009</v>
      </c>
      <c r="K69" s="56" t="str">
        <f>IF($D69="","",G69-VLOOKUP($D69,$B$4:$BS$990,6,FALSE))</f>
        <v/>
      </c>
      <c r="L69" s="56" t="str">
        <f>IF($D69="","",H69-VLOOKUP($D69,$B$4:$BS$990,7,FALSE))</f>
        <v/>
      </c>
      <c r="M69" s="56" t="str">
        <f>IF($D69="","",I69-VLOOKUP($D69,$B$4:$BS$990,8,FALSE))</f>
        <v/>
      </c>
      <c r="N69" s="74" t="str">
        <f>IF($D69="","",J69-VLOOKUP($D69,$B$4:$BS$990,9,FALSE))</f>
        <v/>
      </c>
      <c r="O69" s="82">
        <f t="shared" si="66"/>
        <v>0.2375786851216668</v>
      </c>
      <c r="P69" s="8">
        <f t="shared" si="66"/>
        <v>-0.41147979536869084</v>
      </c>
      <c r="Q69" s="8">
        <f t="shared" si="66"/>
        <v>-8.9494803412846505E-2</v>
      </c>
      <c r="R69" s="56" t="str">
        <f>IF($D69="","",O69-VLOOKUP($D69,$B$4:$BS$990,14,FALSE))</f>
        <v/>
      </c>
      <c r="S69" s="56" t="str">
        <f>IF($D69="","",P69-VLOOKUP($D69,$B$4:$BS$990,15,FALSE))</f>
        <v/>
      </c>
      <c r="T69" s="78" t="str">
        <f>IF($D69="","",Q69-VLOOKUP($D69,$B$4:$BS$990,16,FALSE))</f>
        <v/>
      </c>
      <c r="U69" s="44">
        <f t="shared" ref="U69:AS69" si="67">IF(ISERR(AVERAGE(U70:U73)),"",AVERAGE(U70:U73))</f>
        <v>1.1189958223050118</v>
      </c>
      <c r="V69" s="11">
        <f t="shared" si="67"/>
        <v>0.21509586362085228</v>
      </c>
      <c r="W69" s="88">
        <f t="shared" si="67"/>
        <v>0.1311684421049488</v>
      </c>
      <c r="X69" s="32">
        <f t="shared" si="67"/>
        <v>1.9675266315742317</v>
      </c>
      <c r="Y69" s="71" t="str">
        <f>IF($D69="","",W69-VLOOKUP($D69,$B$4:$BS$990,22,FALSE))</f>
        <v/>
      </c>
      <c r="Z69" s="89" t="str">
        <f>IF($D69="","",X69-VLOOKUP($D69,$B$4:$BS$990,23,FALSE))</f>
        <v/>
      </c>
      <c r="AA69" s="88">
        <f t="shared" si="67"/>
        <v>5.1008232101180653</v>
      </c>
      <c r="AB69" s="31">
        <f t="shared" si="67"/>
        <v>3.9747700657025256</v>
      </c>
      <c r="AC69" s="31">
        <f t="shared" si="67"/>
        <v>1.1260531444155402</v>
      </c>
      <c r="AD69" s="32">
        <f>IF(ISERR(AVERAGE(AD70:AD73)),"",AVERAGE(AD70:AD73))</f>
        <v>-3.8111954183153625</v>
      </c>
      <c r="AE69" s="71" t="str">
        <f>IF($D69="","",AA69-VLOOKUP($D69,$B$4:$BS$990,26,FALSE))</f>
        <v/>
      </c>
      <c r="AF69" s="71" t="str">
        <f>IF($D69="","",AB69-VLOOKUP($D69,$B$4:$BS$990,27,FALSE))</f>
        <v/>
      </c>
      <c r="AG69" s="92" t="str">
        <f>IF($D69="","",AC69-VLOOKUP($D69,$B$4:$BS$990,28,FALSE))</f>
        <v/>
      </c>
      <c r="AH69" s="89" t="str">
        <f>IF($D69="","",AD69-VLOOKUP($D69,$B$4:$BS$990,29,FALSE))</f>
        <v/>
      </c>
      <c r="AI69" s="95">
        <f t="shared" si="67"/>
        <v>2.592162561201111</v>
      </c>
      <c r="AJ69" s="35">
        <f t="shared" si="67"/>
        <v>0.78190863881876738</v>
      </c>
      <c r="AK69" s="138">
        <f>IF((ISERROR((Coeff!AB69+TestInfoPage!$B$6)/(Coeff!AA69+TestInfoPage!$B$5))),"",((Coeff!AB69+TestInfoPage!$B$6)/(Coeff!AA69+TestInfoPage!$B$5)))</f>
        <v>0.77924089935485619</v>
      </c>
      <c r="AL69" s="135" t="str">
        <f>IF($D69="","",AI69-VLOOKUP($D69,$B$4:$BS$990,34,FALSE))</f>
        <v/>
      </c>
      <c r="AM69" s="72" t="str">
        <f>IF($D69="","",AJ69-VLOOKUP($D69,$B$4:$BS$990,35,FALSE))</f>
        <v/>
      </c>
      <c r="AN69" s="115" t="str">
        <f>IF($D69="","",AK69-VLOOKUP($D69,$B$4:$BS$990,36,FALSE))</f>
        <v/>
      </c>
      <c r="AO69" s="134">
        <f t="shared" si="65"/>
        <v>3.2011880670155542E-2</v>
      </c>
      <c r="AP69" s="44">
        <f t="shared" si="67"/>
        <v>2.4968831341220622E-2</v>
      </c>
      <c r="AQ69" s="8" t="str">
        <f t="shared" si="67"/>
        <v/>
      </c>
      <c r="AR69" s="11">
        <f t="shared" si="67"/>
        <v>3.9099928536527467E-2</v>
      </c>
      <c r="AS69" s="11">
        <f t="shared" si="67"/>
        <v>3.1966882132718547E-2</v>
      </c>
      <c r="AT69" s="56" t="e">
        <f>IF(ISERR(AP69-VLOOKUP($D69,$B$4:$BS$990,41,FALSE)),"",(AP69-VLOOKUP($D69,$B$4:$BS$990,41,FALSE)))</f>
        <v>#N/A</v>
      </c>
      <c r="AU69" s="56" t="str">
        <f>IF(ISERR(AQ69-VLOOKUP($D69,$B$4:$BS$990,42,FALSE)),"",(AQ69-VLOOKUP($D69,$B$4:$BS$990,42,FALSE)))</f>
        <v/>
      </c>
      <c r="AV69" s="74" t="e">
        <f>IF(ISERR(AR69-VLOOKUP($D69,$B$4:$BS$990,43,FALSE)),"",AR69-VLOOKUP($D69,$B$4:$BS$990,43,FALSE))</f>
        <v>#N/A</v>
      </c>
      <c r="AW69" s="74" t="e">
        <f>IF(ISERR(AS69-VLOOKUP($D69,$B$4:$BS$990,44,FALSE)),"",AS69-VLOOKUP($D69,$B$4:$BS$990,44,FALSE))</f>
        <v>#N/A</v>
      </c>
      <c r="AX69" s="82">
        <f t="shared" ref="AX69:AY69" si="68">IF(ISERR(AVERAGE(AX70:AX73)),"",AVERAGE(AX70:AX73))</f>
        <v>5.2608572850281705E-2</v>
      </c>
      <c r="AY69" s="11">
        <f t="shared" si="68"/>
        <v>3.8840305712379813E-2</v>
      </c>
      <c r="AZ69" s="89" t="e">
        <f>IF(ISERR(AX69-VLOOKUP($D69,$B$4:$BS$990,49,FALSE)),"",(AX69-VLOOKUP($D69,$B$4:$BS$990,49,FALSE)))</f>
        <v>#N/A</v>
      </c>
      <c r="BA69" s="89" t="e">
        <f>IF(ISERR(AY69-VLOOKUP($D69,$B$4:$BS$990,50,FALSE)),"",(AY69-VLOOKUP($D69,$B$4:$BS$990,50,FALSE)))</f>
        <v>#N/A</v>
      </c>
      <c r="BB69" s="82">
        <f t="shared" ref="BB69:BS69" si="69">IF(ISERR(AVERAGE(BB70:BB73)),"",AVERAGE(BB70:BB73))</f>
        <v>-6.4933803207053956E-2</v>
      </c>
      <c r="BC69" s="8">
        <f t="shared" si="69"/>
        <v>-7.648101911176515E-2</v>
      </c>
      <c r="BD69" s="8">
        <f t="shared" si="69"/>
        <v>-7.8429566479723253E-2</v>
      </c>
      <c r="BE69" s="8">
        <f t="shared" si="69"/>
        <v>-8.1510101485906442E-2</v>
      </c>
      <c r="BF69" s="8">
        <f t="shared" si="69"/>
        <v>-7.2614774165765769E-2</v>
      </c>
      <c r="BG69" s="8">
        <f t="shared" si="69"/>
        <v>-7.2628041210042349E-2</v>
      </c>
      <c r="BH69" s="8">
        <f t="shared" si="69"/>
        <v>-7.1980062220296043E-2</v>
      </c>
      <c r="BI69" s="8">
        <f t="shared" si="69"/>
        <v>-8.0030862583172768E-2</v>
      </c>
      <c r="BJ69" s="8">
        <f t="shared" si="69"/>
        <v>-6.9474083293733474E-2</v>
      </c>
      <c r="BK69" s="8">
        <f t="shared" si="69"/>
        <v>-7.0331806262910843E-2</v>
      </c>
      <c r="BL69" s="8">
        <f t="shared" si="69"/>
        <v>-5.533134606079252E-2</v>
      </c>
      <c r="BM69" s="8">
        <f t="shared" si="69"/>
        <v>-7.222015153381095E-2</v>
      </c>
      <c r="BN69" s="8">
        <f t="shared" si="69"/>
        <v>-7.4467201060430172E-2</v>
      </c>
      <c r="BO69" s="8">
        <f t="shared" si="69"/>
        <v>-8.2919996899276247E-2</v>
      </c>
      <c r="BP69" s="8">
        <f t="shared" si="69"/>
        <v>-6.4459514778133567E-2</v>
      </c>
      <c r="BQ69" s="8">
        <f t="shared" si="69"/>
        <v>-7.1717106108796877E-2</v>
      </c>
      <c r="BR69" s="8">
        <f t="shared" si="69"/>
        <v>-7.7340903627260593E-2</v>
      </c>
      <c r="BS69" s="103">
        <f t="shared" si="69"/>
        <v>-4.6552276629241905E-2</v>
      </c>
      <c r="BT69" s="106" t="str">
        <f>IF($D69="","",BB69-VLOOKUP($D69,$B$4:$BS$990,53,FALSE))</f>
        <v/>
      </c>
      <c r="BU69" s="56" t="str">
        <f>IF($D69="","",BC69-VLOOKUP($D69,$B$4:$BS$990,54,FALSE))</f>
        <v/>
      </c>
      <c r="BV69" s="56" t="str">
        <f>IF($D69="","",BD69-VLOOKUP($D69,$B$4:$BS$990,55,FALSE))</f>
        <v/>
      </c>
      <c r="BW69" s="56" t="str">
        <f>IF($D69="","",BE69-VLOOKUP($D69,$B$4:$BS$990,56,FALSE))</f>
        <v/>
      </c>
      <c r="BX69" s="56" t="str">
        <f>IF($D69="","",BF69-VLOOKUP($D69,$B$4:$BS$990,57,FALSE))</f>
        <v/>
      </c>
      <c r="BY69" s="56" t="str">
        <f>IF($D69="","",BG69-VLOOKUP($D69,$B$4:$BS$990,58,FALSE))</f>
        <v/>
      </c>
      <c r="BZ69" s="56" t="str">
        <f>IF($D69="","",BH69-VLOOKUP($D69,$B$4:$BS$990,59,FALSE))</f>
        <v/>
      </c>
      <c r="CA69" s="56" t="str">
        <f>IF($D69="","",BI69-VLOOKUP($D69,$B$4:$BS$990,60,FALSE))</f>
        <v/>
      </c>
      <c r="CB69" s="56" t="str">
        <f>IF($D69="","",BJ69-VLOOKUP($D69,$B$4:$BS$990,61,FALSE))</f>
        <v/>
      </c>
      <c r="CC69" s="56" t="str">
        <f>IF($D69="","",BK69-VLOOKUP($D69,$B$4:$BS$990,62,FALSE))</f>
        <v/>
      </c>
      <c r="CD69" s="56" t="str">
        <f>IF($D69="","",BL69-VLOOKUP($D69,$B$4:$BS$990,63,FALSE))</f>
        <v/>
      </c>
      <c r="CE69" s="56" t="str">
        <f>IF($D69="","",BM69-VLOOKUP($D69,$B$4:$BS$990,64,FALSE))</f>
        <v/>
      </c>
      <c r="CF69" s="56" t="str">
        <f>IF($D69="","",BN69-VLOOKUP($D69,$B$4:$BS$990,65,FALSE))</f>
        <v/>
      </c>
      <c r="CG69" s="56" t="str">
        <f>IF($D69="","",BO69-VLOOKUP($D69,$B$4:$BS$990,66,FALSE))</f>
        <v/>
      </c>
      <c r="CH69" s="56" t="str">
        <f>IF($D69="","",BP69-VLOOKUP($D69,$B$4:$BS$990,67,FALSE))</f>
        <v/>
      </c>
      <c r="CI69" s="56" t="str">
        <f>IF($D69="","",BQ69-VLOOKUP($D69,$B$4:$BS$990,68,FALSE))</f>
        <v/>
      </c>
      <c r="CJ69" s="56" t="str">
        <f>IF($D69="","",BR69-VLOOKUP($D69,$B$4:$BS$990,69,FALSE))</f>
        <v/>
      </c>
      <c r="CK69" s="78" t="str">
        <f>IF($D69="","",BS69-VLOOKUP($D69,$B$4:$BS$990,70,FALSE))</f>
        <v/>
      </c>
      <c r="CL69" s="1"/>
    </row>
    <row r="70" spans="1:90" x14ac:dyDescent="0.25">
      <c r="A70" s="158" t="s">
        <v>122</v>
      </c>
      <c r="B70" s="10"/>
      <c r="C70" s="10">
        <v>1</v>
      </c>
      <c r="D70" s="76"/>
      <c r="E70" s="79">
        <v>0.33072780533912782</v>
      </c>
      <c r="F70" s="80"/>
      <c r="G70" s="7">
        <v>0.85657039346255737</v>
      </c>
      <c r="H70" s="7">
        <v>1.0618867844111852</v>
      </c>
      <c r="I70" s="7">
        <v>-0.20531639094862791</v>
      </c>
      <c r="J70" s="7">
        <v>-0.66825388171189637</v>
      </c>
      <c r="K70" s="7"/>
      <c r="L70" s="7"/>
      <c r="M70" s="7"/>
      <c r="N70" s="7"/>
      <c r="O70" s="79">
        <v>0.6336015876799066</v>
      </c>
      <c r="P70" s="7">
        <v>-0.39598829674874703</v>
      </c>
      <c r="Q70" s="7">
        <v>-4.2133906760594204E-2</v>
      </c>
      <c r="R70" s="7"/>
      <c r="S70" s="7"/>
      <c r="T70" s="80"/>
      <c r="U70" s="6">
        <v>0.79899179114096908</v>
      </c>
      <c r="V70" s="6">
        <v>0.15358397763043072</v>
      </c>
      <c r="W70" s="90">
        <f>IF(ISERR(X70*$AC$1/375),"",(X70*$AC$1/375))</f>
        <v>0.13218776969648263</v>
      </c>
      <c r="X70" s="15">
        <f>IF(ISERR(((($AC$1)^2)*0.002558)*E70*$F$1),"",(((($AC$1)^2)*0.002558)*E70*$F$1))</f>
        <v>1.9828165454472395</v>
      </c>
      <c r="Y70" s="15"/>
      <c r="Z70" s="91"/>
      <c r="AA70" s="90">
        <f t="shared" ref="AA70:AD73" si="70">IF(ISERR(((($AC$1)^2)*0.002558)*G70*$F$1),"",(((($AC$1)^2)*0.002558)*G70*$F$1))</f>
        <v>5.1354071870559874</v>
      </c>
      <c r="AB70" s="15">
        <f t="shared" si="70"/>
        <v>6.3663431121651834</v>
      </c>
      <c r="AC70" s="15">
        <f t="shared" si="70"/>
        <v>-1.2309359251091958</v>
      </c>
      <c r="AD70" s="15">
        <f t="shared" si="70"/>
        <v>-4.0063908502008534</v>
      </c>
      <c r="AE70" s="15"/>
      <c r="AF70" s="15"/>
      <c r="AG70" s="15"/>
      <c r="AH70" s="91"/>
      <c r="AI70" s="96">
        <f>IF(ISERR(AA70/X70),"",(AA70/X70))</f>
        <v>2.5899557873104477</v>
      </c>
      <c r="AJ70" s="36">
        <f>IF(ISERR(AB70/AA70),"",(AB70/AA70))</f>
        <v>1.2396958761540511</v>
      </c>
      <c r="AK70" s="139">
        <f>IF((ISERROR((Coeff!AB70+TestInfoPage!$B$6)/(Coeff!AA70+TestInfoPage!$B$5))),"",((Coeff!AB70+TestInfoPage!$B$6)/(Coeff!AA70+TestInfoPage!$B$5)))</f>
        <v>1.2396958761540511</v>
      </c>
      <c r="AL70" s="96"/>
      <c r="AM70" s="36"/>
      <c r="AN70" s="142"/>
      <c r="AO70" s="79">
        <f t="shared" si="65"/>
        <v>4.2485790573662058E-2</v>
      </c>
      <c r="AP70" s="4" t="s">
        <v>119</v>
      </c>
      <c r="AQ70" s="4" t="s">
        <v>119</v>
      </c>
      <c r="AR70" s="4">
        <v>4.2485790573662058E-2</v>
      </c>
      <c r="AS70" s="4" t="s">
        <v>119</v>
      </c>
      <c r="AT70" s="7"/>
      <c r="AU70" s="7"/>
      <c r="AV70" s="7"/>
      <c r="AW70" s="80"/>
      <c r="AX70" s="81">
        <v>5.2608572850281705E-2</v>
      </c>
      <c r="AY70" s="4" t="s">
        <v>119</v>
      </c>
      <c r="AZ70" s="15"/>
      <c r="BA70" s="91"/>
      <c r="BB70" s="162">
        <v>-5.9485129997380752E-2</v>
      </c>
      <c r="BC70" s="128">
        <v>-7.8673603589370908E-2</v>
      </c>
      <c r="BD70" s="128">
        <v>-8.57616289814985E-2</v>
      </c>
      <c r="BE70" s="128">
        <v>-8.8696542375410262E-2</v>
      </c>
      <c r="BF70" s="128">
        <v>-7.5352647649061341E-2</v>
      </c>
      <c r="BG70" s="128">
        <v>-7.6613036939692181E-2</v>
      </c>
      <c r="BH70" s="128">
        <v>-7.7113699413761894E-2</v>
      </c>
      <c r="BI70" s="128">
        <v>-8.5930668280940675E-2</v>
      </c>
      <c r="BJ70" s="128">
        <v>-6.0199113938487744E-2</v>
      </c>
      <c r="BK70" s="128">
        <v>-6.9891518010357659E-2</v>
      </c>
      <c r="BL70" s="128">
        <v>-5.6559564725146276E-2</v>
      </c>
      <c r="BM70" s="128">
        <v>-8.7669516949141907E-2</v>
      </c>
      <c r="BN70" s="128">
        <v>-7.2816142336599207E-2</v>
      </c>
      <c r="BO70" s="128">
        <v>-8.0110186335393019E-2</v>
      </c>
      <c r="BP70" s="128">
        <v>-5.5065548603251441E-2</v>
      </c>
      <c r="BQ70" s="128">
        <v>-8.028223801825643E-2</v>
      </c>
      <c r="BR70" s="128">
        <v>-7.4711643000094544E-2</v>
      </c>
      <c r="BS70" s="129">
        <v>-4.8866959950201301E-2</v>
      </c>
      <c r="BT70" s="109"/>
      <c r="BU70" s="101"/>
      <c r="BV70" s="101"/>
      <c r="BW70" s="101"/>
      <c r="BX70" s="101"/>
      <c r="BY70" s="101"/>
      <c r="BZ70" s="101"/>
      <c r="CA70" s="101"/>
      <c r="CB70" s="101"/>
      <c r="CC70" s="101"/>
      <c r="CD70" s="101"/>
      <c r="CE70" s="101"/>
      <c r="CF70" s="101"/>
      <c r="CG70" s="101"/>
      <c r="CH70" s="101"/>
      <c r="CI70" s="101"/>
      <c r="CJ70" s="101"/>
      <c r="CK70" s="110"/>
      <c r="CL70" s="1"/>
    </row>
    <row r="71" spans="1:90" x14ac:dyDescent="0.25">
      <c r="A71" s="158" t="s">
        <v>122</v>
      </c>
      <c r="B71" s="10"/>
      <c r="C71" s="10">
        <v>2</v>
      </c>
      <c r="D71" s="76"/>
      <c r="E71" s="81">
        <v>0.3307695077391975</v>
      </c>
      <c r="F71" s="80"/>
      <c r="G71" s="4">
        <v>0.87256508731060023</v>
      </c>
      <c r="H71" s="4">
        <v>0.29189782838169731</v>
      </c>
      <c r="I71" s="4">
        <v>0.58066725892890292</v>
      </c>
      <c r="J71" s="4">
        <v>-0.64362317820671344</v>
      </c>
      <c r="K71" s="7"/>
      <c r="L71" s="7"/>
      <c r="M71" s="7"/>
      <c r="N71" s="7"/>
      <c r="O71" s="81">
        <v>-0.1443847152736028</v>
      </c>
      <c r="P71" s="4">
        <v>-0.42050868916309386</v>
      </c>
      <c r="Q71" s="4">
        <v>-0.11889318582371243</v>
      </c>
      <c r="R71" s="7"/>
      <c r="S71" s="7"/>
      <c r="T71" s="80"/>
      <c r="U71" s="6">
        <v>0.79608781096032588</v>
      </c>
      <c r="V71" s="6">
        <v>0.1530257681068182</v>
      </c>
      <c r="W71" s="90">
        <f>IF(ISERR(X71*$AC$1/375),"",(X71*$AC$1/375))</f>
        <v>0.13220443762451048</v>
      </c>
      <c r="X71" s="15">
        <f>IF(ISERR(((($AC$1)^2)*0.002558)*E71*$F$1),"",(((($AC$1)^2)*0.002558)*E71*$F$1))</f>
        <v>1.9830665643676573</v>
      </c>
      <c r="Y71" s="15"/>
      <c r="Z71" s="91"/>
      <c r="AA71" s="90">
        <f t="shared" si="70"/>
        <v>5.2313003750168328</v>
      </c>
      <c r="AB71" s="15">
        <f t="shared" si="70"/>
        <v>1.7500186992196447</v>
      </c>
      <c r="AC71" s="15">
        <f t="shared" si="70"/>
        <v>3.4812816757971881</v>
      </c>
      <c r="AD71" s="15">
        <f t="shared" si="70"/>
        <v>-3.8587220855924369</v>
      </c>
      <c r="AE71" s="15"/>
      <c r="AF71" s="15"/>
      <c r="AG71" s="15"/>
      <c r="AH71" s="91"/>
      <c r="AI71" s="96">
        <f>IF(ISERR(AA71/X71),"",(AA71/X71))</f>
        <v>2.6379852643448425</v>
      </c>
      <c r="AJ71" s="97">
        <f>IF(ISERR(AB71/AA71),"",(AB71/AA71))</f>
        <v>0.33452842959988005</v>
      </c>
      <c r="AK71" s="139">
        <f>IF((ISERROR((Coeff!AB71+TestInfoPage!$B$6)/(Coeff!AA71+TestInfoPage!$B$5))),"",((Coeff!AB71+TestInfoPage!$B$6)/(Coeff!AA71+TestInfoPage!$B$5)))</f>
        <v>0.33452842959988005</v>
      </c>
      <c r="AL71" s="96"/>
      <c r="AM71" s="36"/>
      <c r="AN71" s="142"/>
      <c r="AO71" s="79">
        <f t="shared" si="65"/>
        <v>3.5714066499392877E-2</v>
      </c>
      <c r="AP71" s="4" t="s">
        <v>119</v>
      </c>
      <c r="AQ71" s="4" t="s">
        <v>119</v>
      </c>
      <c r="AR71" s="4">
        <v>3.5714066499392877E-2</v>
      </c>
      <c r="AS71" s="4" t="s">
        <v>119</v>
      </c>
      <c r="AT71" s="7"/>
      <c r="AU71" s="7"/>
      <c r="AV71" s="7"/>
      <c r="AW71" s="80"/>
      <c r="AX71" s="81" t="s">
        <v>119</v>
      </c>
      <c r="AY71" s="4">
        <v>5.0671751883137148E-2</v>
      </c>
      <c r="AZ71" s="15"/>
      <c r="BA71" s="91"/>
      <c r="BB71" s="79">
        <v>-6.8335356232367722E-2</v>
      </c>
      <c r="BC71" s="7">
        <v>-8.137969531550325E-2</v>
      </c>
      <c r="BD71" s="7">
        <v>-7.8719274970495731E-2</v>
      </c>
      <c r="BE71" s="7">
        <v>-8.1674807165227029E-2</v>
      </c>
      <c r="BF71" s="7">
        <v>-7.2728521986951802E-2</v>
      </c>
      <c r="BG71" s="7">
        <v>-7.3798472820430228E-2</v>
      </c>
      <c r="BH71" s="7">
        <v>-7.4666820323630673E-2</v>
      </c>
      <c r="BI71" s="7">
        <v>-8.7591162047019264E-2</v>
      </c>
      <c r="BJ71" s="7">
        <v>-8.2007968971128428E-2</v>
      </c>
      <c r="BK71" s="7">
        <v>-7.1991563377307999E-2</v>
      </c>
      <c r="BL71" s="7">
        <v>-5.3997532525274915E-2</v>
      </c>
      <c r="BM71" s="7">
        <v>-6.0647842018261233E-2</v>
      </c>
      <c r="BN71" s="7">
        <v>-8.0011724139920845E-2</v>
      </c>
      <c r="BO71" s="7">
        <v>-9.03270351593954E-2</v>
      </c>
      <c r="BP71" s="7">
        <v>-7.5741978640990262E-2</v>
      </c>
      <c r="BQ71" s="7">
        <v>-7.3773403746590499E-2</v>
      </c>
      <c r="BR71" s="7">
        <v>-8.9524173926867512E-2</v>
      </c>
      <c r="BS71" s="80">
        <v>-5.816413622542952E-2</v>
      </c>
      <c r="BT71" s="109"/>
      <c r="BU71" s="101"/>
      <c r="BV71" s="101"/>
      <c r="BW71" s="101"/>
      <c r="BX71" s="101"/>
      <c r="BY71" s="101"/>
      <c r="BZ71" s="101"/>
      <c r="CA71" s="101"/>
      <c r="CB71" s="101"/>
      <c r="CC71" s="101"/>
      <c r="CD71" s="101"/>
      <c r="CE71" s="101"/>
      <c r="CF71" s="101"/>
      <c r="CG71" s="101"/>
      <c r="CH71" s="101"/>
      <c r="CI71" s="101"/>
      <c r="CJ71" s="101"/>
      <c r="CK71" s="110"/>
      <c r="CL71" s="1"/>
    </row>
    <row r="72" spans="1:90" ht="13.5" customHeight="1" x14ac:dyDescent="0.25">
      <c r="A72" s="158" t="s">
        <v>123</v>
      </c>
      <c r="B72" s="10"/>
      <c r="C72" s="10">
        <v>3</v>
      </c>
      <c r="D72" s="76"/>
      <c r="E72" s="81">
        <v>0.32303516871018806</v>
      </c>
      <c r="F72" s="80"/>
      <c r="G72" s="4">
        <v>0.82327019121711797</v>
      </c>
      <c r="H72" s="4">
        <v>0.63515427856725548</v>
      </c>
      <c r="I72" s="4">
        <v>0.18811591264986244</v>
      </c>
      <c r="J72" s="4">
        <v>-0.59521056144326046</v>
      </c>
      <c r="K72" s="7"/>
      <c r="L72" s="7"/>
      <c r="M72" s="7"/>
      <c r="N72" s="7"/>
      <c r="O72" s="81">
        <v>0.22351918295869655</v>
      </c>
      <c r="P72" s="4">
        <v>-0.41794240019423146</v>
      </c>
      <c r="Q72" s="4">
        <v>-0.10745731765423291</v>
      </c>
      <c r="R72" s="7"/>
      <c r="S72" s="7"/>
      <c r="T72" s="80"/>
      <c r="U72" s="6">
        <v>1.7619078648137403</v>
      </c>
      <c r="V72" s="6">
        <v>0.33867784512530785</v>
      </c>
      <c r="W72" s="90">
        <f>IF(ISERR(X72*$AC$1/375),"",(X72*$AC$1/375))</f>
        <v>0.12911311899385328</v>
      </c>
      <c r="X72" s="15">
        <f>IF(ISERR(((($AC$1)^2)*0.002558)*E72*$F$1),"",(((($AC$1)^2)*0.002558)*E72*$F$1))</f>
        <v>1.9366967849077992</v>
      </c>
      <c r="Y72" s="15"/>
      <c r="Z72" s="91"/>
      <c r="AA72" s="90">
        <f t="shared" si="70"/>
        <v>4.9357620682813765</v>
      </c>
      <c r="AB72" s="15">
        <f t="shared" si="70"/>
        <v>3.807948385722749</v>
      </c>
      <c r="AC72" s="15">
        <f t="shared" si="70"/>
        <v>1.1278136825586285</v>
      </c>
      <c r="AD72" s="15">
        <f t="shared" si="70"/>
        <v>-3.5684733191527971</v>
      </c>
      <c r="AE72" s="15"/>
      <c r="AF72" s="15"/>
      <c r="AG72" s="15"/>
      <c r="AH72" s="91"/>
      <c r="AI72" s="96">
        <f>IF(ISERR(AA72/X72),"",(AA72/X72))</f>
        <v>2.5485466319480437</v>
      </c>
      <c r="AJ72" s="97">
        <f>IF(ISERR(AB72/AA72),"",(AB72/AA72))</f>
        <v>0.77150161070237122</v>
      </c>
      <c r="AK72" s="139">
        <f>IF((ISERROR((Coeff!AB72+TestInfoPage!$B$6)/(Coeff!AA72+TestInfoPage!$B$5))),"",((Coeff!AB72+TestInfoPage!$B$6)/(Coeff!AA72+TestInfoPage!$B$5)))</f>
        <v>0.77150161070237122</v>
      </c>
      <c r="AL72" s="96"/>
      <c r="AM72" s="36"/>
      <c r="AN72" s="142"/>
      <c r="AO72" s="79">
        <f t="shared" si="65"/>
        <v>2.8467856736969582E-2</v>
      </c>
      <c r="AP72" s="4">
        <v>2.4968831341220622E-2</v>
      </c>
      <c r="AQ72" s="4" t="s">
        <v>119</v>
      </c>
      <c r="AR72" s="4" t="s">
        <v>119</v>
      </c>
      <c r="AS72" s="4">
        <v>3.1966882132718547E-2</v>
      </c>
      <c r="AT72" s="7"/>
      <c r="AU72" s="7"/>
      <c r="AV72" s="7"/>
      <c r="AW72" s="80"/>
      <c r="AX72" s="81" t="s">
        <v>119</v>
      </c>
      <c r="AY72" s="4">
        <v>2.7008859541622486E-2</v>
      </c>
      <c r="AZ72" s="15"/>
      <c r="BA72" s="91"/>
      <c r="BB72" s="79">
        <v>-6.6980923391413399E-2</v>
      </c>
      <c r="BC72" s="7">
        <v>-6.9389758430421319E-2</v>
      </c>
      <c r="BD72" s="7">
        <v>-7.0807795487175543E-2</v>
      </c>
      <c r="BE72" s="7">
        <v>-7.4158954917082034E-2</v>
      </c>
      <c r="BF72" s="7">
        <v>-6.9763152861284164E-2</v>
      </c>
      <c r="BG72" s="7">
        <v>-6.7472613870004639E-2</v>
      </c>
      <c r="BH72" s="7">
        <v>-6.4159666923495562E-2</v>
      </c>
      <c r="BI72" s="7">
        <v>-6.6570757421558366E-2</v>
      </c>
      <c r="BJ72" s="7">
        <v>-6.6215166971584249E-2</v>
      </c>
      <c r="BK72" s="7">
        <v>-6.911233740106687E-2</v>
      </c>
      <c r="BL72" s="7">
        <v>-5.5436940931956391E-2</v>
      </c>
      <c r="BM72" s="7">
        <v>-6.834309563402971E-2</v>
      </c>
      <c r="BN72" s="7">
        <v>-7.0573736704770462E-2</v>
      </c>
      <c r="BO72" s="7">
        <v>-7.8322769203040307E-2</v>
      </c>
      <c r="BP72" s="7">
        <v>-6.2571017090158984E-2</v>
      </c>
      <c r="BQ72" s="7">
        <v>-6.1095676561543674E-2</v>
      </c>
      <c r="BR72" s="7">
        <v>-6.7786893954819752E-2</v>
      </c>
      <c r="BS72" s="80">
        <v>-3.2625733712094894E-2</v>
      </c>
      <c r="BT72" s="109"/>
      <c r="BU72" s="101"/>
      <c r="BV72" s="101"/>
      <c r="BW72" s="101"/>
      <c r="BX72" s="101"/>
      <c r="BY72" s="101"/>
      <c r="BZ72" s="101"/>
      <c r="CA72" s="101"/>
      <c r="CB72" s="101"/>
      <c r="CC72" s="101"/>
      <c r="CD72" s="101"/>
      <c r="CE72" s="101"/>
      <c r="CF72" s="101"/>
      <c r="CG72" s="101"/>
      <c r="CH72" s="101"/>
      <c r="CI72" s="101"/>
      <c r="CJ72" s="101"/>
      <c r="CK72" s="110"/>
      <c r="CL72" s="1"/>
    </row>
    <row r="73" spans="1:90" ht="13.5" customHeight="1" thickBot="1" x14ac:dyDescent="0.3">
      <c r="A73" s="158">
        <v>0</v>
      </c>
      <c r="B73" s="10"/>
      <c r="C73" s="10">
        <v>4</v>
      </c>
      <c r="D73" s="76"/>
      <c r="E73" s="81" t="s">
        <v>119</v>
      </c>
      <c r="F73" s="80"/>
      <c r="G73" s="4" t="s">
        <v>119</v>
      </c>
      <c r="H73" s="4" t="s">
        <v>119</v>
      </c>
      <c r="I73" s="4" t="s">
        <v>119</v>
      </c>
      <c r="J73" s="4" t="s">
        <v>119</v>
      </c>
      <c r="K73" s="7"/>
      <c r="L73" s="7"/>
      <c r="M73" s="7"/>
      <c r="N73" s="7"/>
      <c r="O73" s="81" t="s">
        <v>119</v>
      </c>
      <c r="P73" s="4" t="s">
        <v>119</v>
      </c>
      <c r="Q73" s="4" t="s">
        <v>119</v>
      </c>
      <c r="R73" s="7"/>
      <c r="S73" s="7"/>
      <c r="T73" s="80"/>
      <c r="U73" s="6" t="s">
        <v>119</v>
      </c>
      <c r="V73" s="6" t="s">
        <v>119</v>
      </c>
      <c r="W73" s="90" t="str">
        <f>IF(ISERR(X73*$AC$1/375),"",(X73*$AC$1/375))</f>
        <v/>
      </c>
      <c r="X73" s="15" t="str">
        <f>IF(ISERR(((($AC$1)^2)*0.002558)*E73*$F$1),"",(((($AC$1)^2)*0.002558)*E73*$F$1))</f>
        <v/>
      </c>
      <c r="Y73" s="15"/>
      <c r="Z73" s="91"/>
      <c r="AA73" s="90" t="str">
        <f t="shared" si="70"/>
        <v/>
      </c>
      <c r="AB73" s="15" t="str">
        <f t="shared" si="70"/>
        <v/>
      </c>
      <c r="AC73" s="15" t="str">
        <f t="shared" si="70"/>
        <v/>
      </c>
      <c r="AD73" s="15" t="str">
        <f t="shared" si="70"/>
        <v/>
      </c>
      <c r="AE73" s="15"/>
      <c r="AF73" s="15"/>
      <c r="AG73" s="15"/>
      <c r="AH73" s="91"/>
      <c r="AI73" s="96" t="str">
        <f>IF(ISERR(AA73/X73),"",(AA73/X73))</f>
        <v/>
      </c>
      <c r="AJ73" s="97" t="str">
        <f>IF(ISERR(AB73/AA73),"",(AB73/AA73))</f>
        <v/>
      </c>
      <c r="AK73" s="139" t="str">
        <f>IF((ISERROR((Coeff!AB73+TestInfoPage!$B$6)/(Coeff!AA73+TestInfoPage!$B$5))),"",((Coeff!AB73+TestInfoPage!$B$6)/(Coeff!AA73+TestInfoPage!$B$5)))</f>
        <v/>
      </c>
      <c r="AL73" s="96"/>
      <c r="AM73" s="36"/>
      <c r="AN73" s="142"/>
      <c r="AO73" s="79" t="str">
        <f t="shared" si="65"/>
        <v/>
      </c>
      <c r="AP73" s="4" t="s">
        <v>119</v>
      </c>
      <c r="AQ73" s="4" t="s">
        <v>119</v>
      </c>
      <c r="AR73" s="4" t="s">
        <v>119</v>
      </c>
      <c r="AS73" s="4" t="s">
        <v>119</v>
      </c>
      <c r="AT73" s="7"/>
      <c r="AU73" s="7"/>
      <c r="AV73" s="7"/>
      <c r="AW73" s="80"/>
      <c r="AX73" s="81" t="s">
        <v>119</v>
      </c>
      <c r="AY73" s="4" t="s">
        <v>119</v>
      </c>
      <c r="AZ73" s="15"/>
      <c r="BA73" s="91"/>
      <c r="BB73" s="163" t="s">
        <v>119</v>
      </c>
      <c r="BC73" s="157" t="s">
        <v>119</v>
      </c>
      <c r="BD73" s="157" t="s">
        <v>119</v>
      </c>
      <c r="BE73" s="157" t="s">
        <v>119</v>
      </c>
      <c r="BF73" s="157" t="s">
        <v>119</v>
      </c>
      <c r="BG73" s="157" t="s">
        <v>119</v>
      </c>
      <c r="BH73" s="157" t="s">
        <v>119</v>
      </c>
      <c r="BI73" s="157" t="s">
        <v>119</v>
      </c>
      <c r="BJ73" s="157" t="s">
        <v>119</v>
      </c>
      <c r="BK73" s="157" t="s">
        <v>119</v>
      </c>
      <c r="BL73" s="157" t="s">
        <v>119</v>
      </c>
      <c r="BM73" s="157" t="s">
        <v>119</v>
      </c>
      <c r="BN73" s="157" t="s">
        <v>119</v>
      </c>
      <c r="BO73" s="157" t="s">
        <v>119</v>
      </c>
      <c r="BP73" s="157" t="s">
        <v>119</v>
      </c>
      <c r="BQ73" s="157" t="s">
        <v>119</v>
      </c>
      <c r="BR73" s="157" t="s">
        <v>119</v>
      </c>
      <c r="BS73" s="84" t="s">
        <v>119</v>
      </c>
      <c r="BT73" s="109"/>
      <c r="BU73" s="101"/>
      <c r="BV73" s="101"/>
      <c r="BW73" s="101"/>
      <c r="BX73" s="101"/>
      <c r="BY73" s="101"/>
      <c r="BZ73" s="101"/>
      <c r="CA73" s="101"/>
      <c r="CB73" s="101"/>
      <c r="CC73" s="101"/>
      <c r="CD73" s="101"/>
      <c r="CE73" s="101"/>
      <c r="CF73" s="101"/>
      <c r="CG73" s="101"/>
      <c r="CH73" s="101"/>
      <c r="CI73" s="101"/>
      <c r="CJ73" s="101"/>
      <c r="CK73" s="110"/>
      <c r="CL73" s="1"/>
    </row>
    <row r="74" spans="1:90" ht="14.25" thickBot="1" x14ac:dyDescent="0.3">
      <c r="A74" s="158" t="s">
        <v>137</v>
      </c>
      <c r="B74" s="9">
        <f>B69+1</f>
        <v>15</v>
      </c>
      <c r="C74" s="66" t="s">
        <v>56</v>
      </c>
      <c r="D74" s="75"/>
      <c r="E74" s="82">
        <f>IF(ISERR(AVERAGE(E75:E78)),"",AVERAGE(E75:E78))</f>
        <v>0.33340159581288048</v>
      </c>
      <c r="F74" s="78" t="str">
        <f>IF($D74="","",E74-VLOOKUP($D74,$B$4:$BS$990,4,FALSE))</f>
        <v/>
      </c>
      <c r="G74" s="44">
        <f t="shared" ref="G74:Q74" si="71">IF(ISERR(AVERAGE(G75:G78)),"",AVERAGE(G75:G78))</f>
        <v>0.83108350252700458</v>
      </c>
      <c r="H74" s="8">
        <f t="shared" si="71"/>
        <v>0.58551683780277464</v>
      </c>
      <c r="I74" s="8">
        <f t="shared" si="71"/>
        <v>0.24556666472422989</v>
      </c>
      <c r="J74" s="44">
        <f>IF(ISERR(AVERAGE(J75:J78)),"",AVERAGE(J75:J78))</f>
        <v>-0.64537934894257654</v>
      </c>
      <c r="K74" s="56" t="str">
        <f>IF($D74="","",G74-VLOOKUP($D74,$B$4:$BS$990,6,FALSE))</f>
        <v/>
      </c>
      <c r="L74" s="56" t="str">
        <f>IF($D74="","",H74-VLOOKUP($D74,$B$4:$BS$990,7,FALSE))</f>
        <v/>
      </c>
      <c r="M74" s="56" t="str">
        <f>IF($D74="","",I74-VLOOKUP($D74,$B$4:$BS$990,8,FALSE))</f>
        <v/>
      </c>
      <c r="N74" s="74" t="str">
        <f>IF($D74="","",J74-VLOOKUP($D74,$B$4:$BS$990,9,FALSE))</f>
        <v/>
      </c>
      <c r="O74" s="82">
        <f t="shared" si="71"/>
        <v>0.1699750865392724</v>
      </c>
      <c r="P74" s="8">
        <f t="shared" si="71"/>
        <v>-0.37260094989110465</v>
      </c>
      <c r="Q74" s="8">
        <f t="shared" si="71"/>
        <v>-0.18151975421189306</v>
      </c>
      <c r="R74" s="56" t="str">
        <f>IF($D74="","",O74-VLOOKUP($D74,$B$4:$BS$990,14,FALSE))</f>
        <v/>
      </c>
      <c r="S74" s="56" t="str">
        <f>IF($D74="","",P74-VLOOKUP($D74,$B$4:$BS$990,15,FALSE))</f>
        <v/>
      </c>
      <c r="T74" s="78" t="str">
        <f>IF($D74="","",Q74-VLOOKUP($D74,$B$4:$BS$990,16,FALSE))</f>
        <v/>
      </c>
      <c r="U74" s="44">
        <f t="shared" ref="U74:AS74" si="72">IF(ISERR(AVERAGE(U75:U78)),"",AVERAGE(U75:U78))</f>
        <v>1.7416359471157072</v>
      </c>
      <c r="V74" s="11">
        <f t="shared" si="72"/>
        <v>0.33478113205668597</v>
      </c>
      <c r="W74" s="88">
        <f t="shared" si="72"/>
        <v>0.13325645032646066</v>
      </c>
      <c r="X74" s="32">
        <f t="shared" si="72"/>
        <v>1.99884675489691</v>
      </c>
      <c r="Y74" s="71" t="str">
        <f>IF($D74="","",W74-VLOOKUP($D74,$B$4:$BS$990,22,FALSE))</f>
        <v/>
      </c>
      <c r="Z74" s="89" t="str">
        <f>IF($D74="","",X74-VLOOKUP($D74,$B$4:$BS$990,23,FALSE))</f>
        <v/>
      </c>
      <c r="AA74" s="88">
        <f t="shared" si="72"/>
        <v>4.9826053112439324</v>
      </c>
      <c r="AB74" s="31">
        <f t="shared" si="72"/>
        <v>3.5103564166394472</v>
      </c>
      <c r="AC74" s="31">
        <f t="shared" si="72"/>
        <v>1.4722488946044845</v>
      </c>
      <c r="AD74" s="32">
        <f>IF(ISERR(AVERAGE(AD75:AD78)),"",AVERAGE(AD75:AD78))</f>
        <v>-3.8692508779572905</v>
      </c>
      <c r="AE74" s="71" t="str">
        <f>IF($D74="","",AA74-VLOOKUP($D74,$B$4:$BS$990,26,FALSE))</f>
        <v/>
      </c>
      <c r="AF74" s="71" t="str">
        <f>IF($D74="","",AB74-VLOOKUP($D74,$B$4:$BS$990,27,FALSE))</f>
        <v/>
      </c>
      <c r="AG74" s="92" t="str">
        <f>IF($D74="","",AC74-VLOOKUP($D74,$B$4:$BS$990,28,FALSE))</f>
        <v/>
      </c>
      <c r="AH74" s="89" t="str">
        <f>IF($D74="","",AD74-VLOOKUP($D74,$B$4:$BS$990,29,FALSE))</f>
        <v/>
      </c>
      <c r="AI74" s="95">
        <f t="shared" si="72"/>
        <v>2.4927400257359444</v>
      </c>
      <c r="AJ74" s="35">
        <f t="shared" si="72"/>
        <v>0.70452227245811472</v>
      </c>
      <c r="AK74" s="138">
        <f>IF((ISERROR((Coeff!AB74+TestInfoPage!$B$6)/(Coeff!AA74+TestInfoPage!$B$5))),"",((Coeff!AB74+TestInfoPage!$B$6)/(Coeff!AA74+TestInfoPage!$B$5)))</f>
        <v>0.70452227245811472</v>
      </c>
      <c r="AL74" s="135" t="str">
        <f>IF($D74="","",AI74-VLOOKUP($D74,$B$4:$BS$990,34,FALSE))</f>
        <v/>
      </c>
      <c r="AM74" s="72" t="str">
        <f>IF($D74="","",AJ74-VLOOKUP($D74,$B$4:$BS$990,35,FALSE))</f>
        <v/>
      </c>
      <c r="AN74" s="115" t="str">
        <f>IF($D74="","",AK74-VLOOKUP($D74,$B$4:$BS$990,36,FALSE))</f>
        <v/>
      </c>
      <c r="AO74" s="134" t="str">
        <f t="shared" si="65"/>
        <v/>
      </c>
      <c r="AP74" s="44" t="str">
        <f t="shared" si="72"/>
        <v/>
      </c>
      <c r="AQ74" s="8" t="str">
        <f t="shared" si="72"/>
        <v/>
      </c>
      <c r="AR74" s="11" t="str">
        <f t="shared" si="72"/>
        <v/>
      </c>
      <c r="AS74" s="11" t="str">
        <f t="shared" si="72"/>
        <v/>
      </c>
      <c r="AT74" s="56" t="str">
        <f>IF(ISERR(AP74-VLOOKUP($D74,$B$4:$BS$990,41,FALSE)),"",(AP74-VLOOKUP($D74,$B$4:$BS$990,41,FALSE)))</f>
        <v/>
      </c>
      <c r="AU74" s="56" t="str">
        <f>IF(ISERR(AQ74-VLOOKUP($D74,$B$4:$BS$990,42,FALSE)),"",(AQ74-VLOOKUP($D74,$B$4:$BS$990,42,FALSE)))</f>
        <v/>
      </c>
      <c r="AV74" s="74" t="str">
        <f>IF(ISERR(AR74-VLOOKUP($D74,$B$4:$BS$990,43,FALSE)),"",AR74-VLOOKUP($D74,$B$4:$BS$990,43,FALSE))</f>
        <v/>
      </c>
      <c r="AW74" s="74" t="str">
        <f>IF(ISERR(AS74-VLOOKUP($D74,$B$4:$BS$990,44,FALSE)),"",AS74-VLOOKUP($D74,$B$4:$BS$990,44,FALSE))</f>
        <v/>
      </c>
      <c r="AX74" s="82">
        <f t="shared" ref="AX74:AY74" si="73">IF(ISERR(AVERAGE(AX75:AX78)),"",AVERAGE(AX75:AX78))</f>
        <v>5.6042833002893311E-2</v>
      </c>
      <c r="AY74" s="11">
        <f t="shared" si="73"/>
        <v>3.2382166473209614E-2</v>
      </c>
      <c r="AZ74" s="89" t="e">
        <f>IF(ISERR(AX74-VLOOKUP($D74,$B$4:$BS$990,49,FALSE)),"",(AX74-VLOOKUP($D74,$B$4:$BS$990,49,FALSE)))</f>
        <v>#N/A</v>
      </c>
      <c r="BA74" s="89" t="e">
        <f>IF(ISERR(AY74-VLOOKUP($D74,$B$4:$BS$990,50,FALSE)),"",(AY74-VLOOKUP($D74,$B$4:$BS$990,50,FALSE)))</f>
        <v>#N/A</v>
      </c>
      <c r="BB74" s="82">
        <f t="shared" ref="BB74:BS74" si="74">IF(ISERR(AVERAGE(BB75:BB78)),"",AVERAGE(BB75:BB78))</f>
        <v>-6.1283408874958173E-2</v>
      </c>
      <c r="BC74" s="8">
        <f t="shared" si="74"/>
        <v>-6.8827117789960923E-2</v>
      </c>
      <c r="BD74" s="8">
        <f t="shared" si="74"/>
        <v>-6.5620746696762808E-2</v>
      </c>
      <c r="BE74" s="8">
        <f t="shared" si="74"/>
        <v>-6.7295766265243612E-2</v>
      </c>
      <c r="BF74" s="8">
        <f t="shared" si="74"/>
        <v>-6.2550220353253375E-2</v>
      </c>
      <c r="BG74" s="8">
        <f t="shared" si="74"/>
        <v>-6.7614932757155605E-2</v>
      </c>
      <c r="BH74" s="8">
        <f t="shared" si="74"/>
        <v>-5.8617774302161738E-2</v>
      </c>
      <c r="BI74" s="8">
        <f t="shared" si="74"/>
        <v>-6.1622297219994945E-2</v>
      </c>
      <c r="BJ74" s="8">
        <f t="shared" si="74"/>
        <v>-7.376617985267718E-2</v>
      </c>
      <c r="BK74" s="8">
        <f t="shared" si="74"/>
        <v>-6.2856890775654414E-2</v>
      </c>
      <c r="BL74" s="8">
        <f t="shared" si="74"/>
        <v>-5.8691843878515094E-2</v>
      </c>
      <c r="BM74" s="8">
        <f t="shared" si="74"/>
        <v>-5.869652543848812E-2</v>
      </c>
      <c r="BN74" s="8">
        <f t="shared" si="74"/>
        <v>-6.5801448842312774E-2</v>
      </c>
      <c r="BO74" s="8">
        <f t="shared" si="74"/>
        <v>-8.4783586214837586E-2</v>
      </c>
      <c r="BP74" s="8">
        <f t="shared" si="74"/>
        <v>-6.8720398502697538E-2</v>
      </c>
      <c r="BQ74" s="8">
        <f t="shared" si="74"/>
        <v>-6.5510419901180353E-2</v>
      </c>
      <c r="BR74" s="8">
        <f t="shared" si="74"/>
        <v>-5.5481840125612421E-2</v>
      </c>
      <c r="BS74" s="103">
        <f t="shared" si="74"/>
        <v>-1.2674391773453891E-2</v>
      </c>
      <c r="BT74" s="106" t="str">
        <f>IF($D74="","",BB74-VLOOKUP($D74,$B$4:$BS$990,53,FALSE))</f>
        <v/>
      </c>
      <c r="BU74" s="56" t="str">
        <f>IF($D74="","",BC74-VLOOKUP($D74,$B$4:$BS$990,54,FALSE))</f>
        <v/>
      </c>
      <c r="BV74" s="56" t="str">
        <f>IF($D74="","",BD74-VLOOKUP($D74,$B$4:$BS$990,55,FALSE))</f>
        <v/>
      </c>
      <c r="BW74" s="56" t="str">
        <f>IF($D74="","",BE74-VLOOKUP($D74,$B$4:$BS$990,56,FALSE))</f>
        <v/>
      </c>
      <c r="BX74" s="56" t="str">
        <f>IF($D74="","",BF74-VLOOKUP($D74,$B$4:$BS$990,57,FALSE))</f>
        <v/>
      </c>
      <c r="BY74" s="56" t="str">
        <f>IF($D74="","",BG74-VLOOKUP($D74,$B$4:$BS$990,58,FALSE))</f>
        <v/>
      </c>
      <c r="BZ74" s="56" t="str">
        <f>IF($D74="","",BH74-VLOOKUP($D74,$B$4:$BS$990,59,FALSE))</f>
        <v/>
      </c>
      <c r="CA74" s="56" t="str">
        <f>IF($D74="","",BI74-VLOOKUP($D74,$B$4:$BS$990,60,FALSE))</f>
        <v/>
      </c>
      <c r="CB74" s="56" t="str">
        <f>IF($D74="","",BJ74-VLOOKUP($D74,$B$4:$BS$990,61,FALSE))</f>
        <v/>
      </c>
      <c r="CC74" s="56" t="str">
        <f>IF($D74="","",BK74-VLOOKUP($D74,$B$4:$BS$990,62,FALSE))</f>
        <v/>
      </c>
      <c r="CD74" s="56" t="str">
        <f>IF($D74="","",BL74-VLOOKUP($D74,$B$4:$BS$990,63,FALSE))</f>
        <v/>
      </c>
      <c r="CE74" s="56" t="str">
        <f>IF($D74="","",BM74-VLOOKUP($D74,$B$4:$BS$990,64,FALSE))</f>
        <v/>
      </c>
      <c r="CF74" s="56" t="str">
        <f>IF($D74="","",BN74-VLOOKUP($D74,$B$4:$BS$990,65,FALSE))</f>
        <v/>
      </c>
      <c r="CG74" s="56" t="str">
        <f>IF($D74="","",BO74-VLOOKUP($D74,$B$4:$BS$990,66,FALSE))</f>
        <v/>
      </c>
      <c r="CH74" s="56" t="str">
        <f>IF($D74="","",BP74-VLOOKUP($D74,$B$4:$BS$990,67,FALSE))</f>
        <v/>
      </c>
      <c r="CI74" s="56" t="str">
        <f>IF($D74="","",BQ74-VLOOKUP($D74,$B$4:$BS$990,68,FALSE))</f>
        <v/>
      </c>
      <c r="CJ74" s="56" t="str">
        <f>IF($D74="","",BR74-VLOOKUP($D74,$B$4:$BS$990,69,FALSE))</f>
        <v/>
      </c>
      <c r="CK74" s="78" t="str">
        <f>IF($D74="","",BS74-VLOOKUP($D74,$B$4:$BS$990,70,FALSE))</f>
        <v/>
      </c>
      <c r="CL74" s="1"/>
    </row>
    <row r="75" spans="1:90" x14ac:dyDescent="0.25">
      <c r="A75" s="158" t="s">
        <v>123</v>
      </c>
      <c r="B75" s="10"/>
      <c r="C75" s="10">
        <v>1</v>
      </c>
      <c r="D75" s="76"/>
      <c r="E75" s="79">
        <v>0.33340159581288048</v>
      </c>
      <c r="F75" s="80"/>
      <c r="G75" s="7">
        <v>0.83108350252700458</v>
      </c>
      <c r="H75" s="7">
        <v>0.58551683780277464</v>
      </c>
      <c r="I75" s="7">
        <v>0.24556666472422989</v>
      </c>
      <c r="J75" s="7">
        <v>-0.64537934894257654</v>
      </c>
      <c r="K75" s="7"/>
      <c r="L75" s="7"/>
      <c r="M75" s="7"/>
      <c r="N75" s="7"/>
      <c r="O75" s="79">
        <v>0.1699750865392724</v>
      </c>
      <c r="P75" s="7">
        <v>-0.37260094989110465</v>
      </c>
      <c r="Q75" s="7">
        <v>-0.18151975421189306</v>
      </c>
      <c r="R75" s="7"/>
      <c r="S75" s="7"/>
      <c r="T75" s="80"/>
      <c r="U75" s="6">
        <v>1.7416359471157072</v>
      </c>
      <c r="V75" s="6">
        <v>0.33478113205668597</v>
      </c>
      <c r="W75" s="90">
        <f>IF(ISERR(X75*$AC$1/375),"",(X75*$AC$1/375))</f>
        <v>0.13325645032646066</v>
      </c>
      <c r="X75" s="15">
        <f>IF(ISERR(((($AC$1)^2)*0.002558)*E75*$F$1),"",(((($AC$1)^2)*0.002558)*E75*$F$1))</f>
        <v>1.99884675489691</v>
      </c>
      <c r="Y75" s="15"/>
      <c r="Z75" s="91"/>
      <c r="AA75" s="90">
        <f t="shared" ref="AA75:AD78" si="75">IF(ISERR(((($AC$1)^2)*0.002558)*G75*$F$1),"",(((($AC$1)^2)*0.002558)*G75*$F$1))</f>
        <v>4.9826053112439324</v>
      </c>
      <c r="AB75" s="15">
        <f t="shared" si="75"/>
        <v>3.5103564166394472</v>
      </c>
      <c r="AC75" s="15">
        <f t="shared" si="75"/>
        <v>1.4722488946044845</v>
      </c>
      <c r="AD75" s="15">
        <f t="shared" si="75"/>
        <v>-3.8692508779572905</v>
      </c>
      <c r="AE75" s="132"/>
      <c r="AF75" s="132"/>
      <c r="AG75" s="132"/>
      <c r="AH75" s="133"/>
      <c r="AI75" s="96">
        <f>IF(ISERR(AA75/X75),"",(AA75/X75))</f>
        <v>2.4927400257359444</v>
      </c>
      <c r="AJ75" s="36">
        <f>IF(ISERR(AB75/AA75),"",(AB75/AA75))</f>
        <v>0.70452227245811472</v>
      </c>
      <c r="AK75" s="139">
        <f>IF((ISERROR((Coeff!AB75+TestInfoPage!$B$6)/(Coeff!AA75+TestInfoPage!$B$5))),"",((Coeff!AB75+TestInfoPage!$B$6)/(Coeff!AA75+TestInfoPage!$B$5)))</f>
        <v>0.70452227245811472</v>
      </c>
      <c r="AL75" s="96"/>
      <c r="AM75" s="36"/>
      <c r="AN75" s="142"/>
      <c r="AO75" s="79" t="str">
        <f t="shared" si="65"/>
        <v/>
      </c>
      <c r="AP75" s="4" t="s">
        <v>119</v>
      </c>
      <c r="AQ75" s="4" t="s">
        <v>119</v>
      </c>
      <c r="AR75" s="4" t="s">
        <v>119</v>
      </c>
      <c r="AS75" s="4" t="s">
        <v>119</v>
      </c>
      <c r="AT75" s="128"/>
      <c r="AU75" s="128"/>
      <c r="AV75" s="128"/>
      <c r="AW75" s="129"/>
      <c r="AX75" s="81">
        <v>5.6042833002893311E-2</v>
      </c>
      <c r="AY75" s="4">
        <v>3.2382166473209614E-2</v>
      </c>
      <c r="AZ75" s="15"/>
      <c r="BA75" s="91"/>
      <c r="BB75" s="162">
        <v>-6.1283408874958173E-2</v>
      </c>
      <c r="BC75" s="128">
        <v>-6.8827117789960923E-2</v>
      </c>
      <c r="BD75" s="128">
        <v>-6.5620746696762808E-2</v>
      </c>
      <c r="BE75" s="128">
        <v>-6.7295766265243612E-2</v>
      </c>
      <c r="BF75" s="128">
        <v>-6.2550220353253375E-2</v>
      </c>
      <c r="BG75" s="128">
        <v>-6.7614932757155605E-2</v>
      </c>
      <c r="BH75" s="128">
        <v>-5.8617774302161738E-2</v>
      </c>
      <c r="BI75" s="128">
        <v>-6.1622297219994945E-2</v>
      </c>
      <c r="BJ75" s="128">
        <v>-7.376617985267718E-2</v>
      </c>
      <c r="BK75" s="128">
        <v>-6.2856890775654414E-2</v>
      </c>
      <c r="BL75" s="128">
        <v>-5.8691843878515094E-2</v>
      </c>
      <c r="BM75" s="128">
        <v>-5.869652543848812E-2</v>
      </c>
      <c r="BN75" s="128">
        <v>-6.5801448842312774E-2</v>
      </c>
      <c r="BO75" s="128">
        <v>-8.4783586214837586E-2</v>
      </c>
      <c r="BP75" s="128">
        <v>-6.8720398502697538E-2</v>
      </c>
      <c r="BQ75" s="128">
        <v>-6.5510419901180353E-2</v>
      </c>
      <c r="BR75" s="128">
        <v>-5.5481840125612421E-2</v>
      </c>
      <c r="BS75" s="129">
        <v>-1.2674391773453891E-2</v>
      </c>
      <c r="BT75" s="107"/>
      <c r="BU75" s="100"/>
      <c r="BV75" s="100"/>
      <c r="BW75" s="100"/>
      <c r="BX75" s="100"/>
      <c r="BY75" s="100"/>
      <c r="BZ75" s="100"/>
      <c r="CA75" s="100"/>
      <c r="CB75" s="100"/>
      <c r="CC75" s="100"/>
      <c r="CD75" s="100"/>
      <c r="CE75" s="100"/>
      <c r="CF75" s="100"/>
      <c r="CG75" s="100"/>
      <c r="CH75" s="100"/>
      <c r="CI75" s="100"/>
      <c r="CJ75" s="100"/>
      <c r="CK75" s="108"/>
      <c r="CL75" s="1"/>
    </row>
    <row r="76" spans="1:90" x14ac:dyDescent="0.25">
      <c r="A76" s="158">
        <v>0</v>
      </c>
      <c r="B76" s="10"/>
      <c r="C76" s="10">
        <v>2</v>
      </c>
      <c r="D76" s="76"/>
      <c r="E76" s="81" t="s">
        <v>119</v>
      </c>
      <c r="F76" s="80"/>
      <c r="G76" s="4" t="s">
        <v>119</v>
      </c>
      <c r="H76" s="4" t="s">
        <v>119</v>
      </c>
      <c r="I76" s="4" t="s">
        <v>119</v>
      </c>
      <c r="J76" s="4" t="s">
        <v>119</v>
      </c>
      <c r="K76" s="7"/>
      <c r="L76" s="7"/>
      <c r="M76" s="7"/>
      <c r="N76" s="7"/>
      <c r="O76" s="81" t="s">
        <v>119</v>
      </c>
      <c r="P76" s="4" t="s">
        <v>119</v>
      </c>
      <c r="Q76" s="4" t="s">
        <v>119</v>
      </c>
      <c r="R76" s="7"/>
      <c r="S76" s="7"/>
      <c r="T76" s="80"/>
      <c r="U76" s="6" t="s">
        <v>119</v>
      </c>
      <c r="V76" s="6" t="s">
        <v>119</v>
      </c>
      <c r="W76" s="90" t="str">
        <f>IF(ISERR(X76*$AC$1/375),"",(X76*$AC$1/375))</f>
        <v/>
      </c>
      <c r="X76" s="15" t="str">
        <f>IF(ISERR(((($AC$1)^2)*0.002558)*E76*$F$1),"",(((($AC$1)^2)*0.002558)*E76*$F$1))</f>
        <v/>
      </c>
      <c r="Y76" s="15"/>
      <c r="Z76" s="91"/>
      <c r="AA76" s="90" t="str">
        <f t="shared" si="75"/>
        <v/>
      </c>
      <c r="AB76" s="15" t="str">
        <f t="shared" si="75"/>
        <v/>
      </c>
      <c r="AC76" s="15" t="str">
        <f t="shared" si="75"/>
        <v/>
      </c>
      <c r="AD76" s="15" t="str">
        <f t="shared" si="75"/>
        <v/>
      </c>
      <c r="AE76" s="15"/>
      <c r="AF76" s="15"/>
      <c r="AG76" s="15"/>
      <c r="AH76" s="91"/>
      <c r="AI76" s="96" t="str">
        <f>IF(ISERR(AA76/X76),"",(AA76/X76))</f>
        <v/>
      </c>
      <c r="AJ76" s="97" t="str">
        <f>IF(ISERR(AB76/AA76),"",(AB76/AA76))</f>
        <v/>
      </c>
      <c r="AK76" s="139" t="str">
        <f>IF((ISERROR((Coeff!AB76+TestInfoPage!$B$6)/(Coeff!AA76+TestInfoPage!$B$5))),"",((Coeff!AB76+TestInfoPage!$B$6)/(Coeff!AA76+TestInfoPage!$B$5)))</f>
        <v/>
      </c>
      <c r="AL76" s="96"/>
      <c r="AM76" s="36"/>
      <c r="AN76" s="142"/>
      <c r="AO76" s="79" t="str">
        <f t="shared" si="65"/>
        <v/>
      </c>
      <c r="AP76" s="4" t="s">
        <v>119</v>
      </c>
      <c r="AQ76" s="4" t="s">
        <v>119</v>
      </c>
      <c r="AR76" s="4" t="s">
        <v>119</v>
      </c>
      <c r="AS76" s="4" t="s">
        <v>119</v>
      </c>
      <c r="AT76" s="7"/>
      <c r="AU76" s="7"/>
      <c r="AV76" s="7"/>
      <c r="AW76" s="80"/>
      <c r="AX76" s="81" t="s">
        <v>119</v>
      </c>
      <c r="AY76" s="4" t="s">
        <v>119</v>
      </c>
      <c r="AZ76" s="15"/>
      <c r="BA76" s="91"/>
      <c r="BB76" s="79" t="s">
        <v>119</v>
      </c>
      <c r="BC76" s="7" t="s">
        <v>119</v>
      </c>
      <c r="BD76" s="7" t="s">
        <v>119</v>
      </c>
      <c r="BE76" s="7" t="s">
        <v>119</v>
      </c>
      <c r="BF76" s="7" t="s">
        <v>119</v>
      </c>
      <c r="BG76" s="7" t="s">
        <v>119</v>
      </c>
      <c r="BH76" s="7" t="s">
        <v>119</v>
      </c>
      <c r="BI76" s="7" t="s">
        <v>119</v>
      </c>
      <c r="BJ76" s="7" t="s">
        <v>119</v>
      </c>
      <c r="BK76" s="7" t="s">
        <v>119</v>
      </c>
      <c r="BL76" s="7" t="s">
        <v>119</v>
      </c>
      <c r="BM76" s="7" t="s">
        <v>119</v>
      </c>
      <c r="BN76" s="7" t="s">
        <v>119</v>
      </c>
      <c r="BO76" s="7" t="s">
        <v>119</v>
      </c>
      <c r="BP76" s="7" t="s">
        <v>119</v>
      </c>
      <c r="BQ76" s="7" t="s">
        <v>119</v>
      </c>
      <c r="BR76" s="7" t="s">
        <v>119</v>
      </c>
      <c r="BS76" s="80" t="s">
        <v>119</v>
      </c>
      <c r="BT76" s="107"/>
      <c r="BU76" s="100"/>
      <c r="BV76" s="100"/>
      <c r="BW76" s="100"/>
      <c r="BX76" s="100"/>
      <c r="BY76" s="100"/>
      <c r="BZ76" s="100"/>
      <c r="CA76" s="100"/>
      <c r="CB76" s="100"/>
      <c r="CC76" s="100"/>
      <c r="CD76" s="100"/>
      <c r="CE76" s="100"/>
      <c r="CF76" s="100"/>
      <c r="CG76" s="100"/>
      <c r="CH76" s="100"/>
      <c r="CI76" s="100"/>
      <c r="CJ76" s="100"/>
      <c r="CK76" s="108"/>
      <c r="CL76" s="1"/>
    </row>
    <row r="77" spans="1:90" ht="13.5" customHeight="1" x14ac:dyDescent="0.25">
      <c r="A77" s="158">
        <v>0</v>
      </c>
      <c r="B77" s="10"/>
      <c r="C77" s="10">
        <v>3</v>
      </c>
      <c r="D77" s="76"/>
      <c r="E77" s="81" t="s">
        <v>119</v>
      </c>
      <c r="F77" s="80"/>
      <c r="G77" s="4" t="s">
        <v>119</v>
      </c>
      <c r="H77" s="4" t="s">
        <v>119</v>
      </c>
      <c r="I77" s="4" t="s">
        <v>119</v>
      </c>
      <c r="J77" s="4" t="s">
        <v>119</v>
      </c>
      <c r="K77" s="7"/>
      <c r="L77" s="7"/>
      <c r="M77" s="7"/>
      <c r="N77" s="7"/>
      <c r="O77" s="81" t="s">
        <v>119</v>
      </c>
      <c r="P77" s="4" t="s">
        <v>119</v>
      </c>
      <c r="Q77" s="4" t="s">
        <v>119</v>
      </c>
      <c r="R77" s="7"/>
      <c r="S77" s="7"/>
      <c r="T77" s="80"/>
      <c r="U77" s="6" t="s">
        <v>119</v>
      </c>
      <c r="V77" s="6" t="s">
        <v>119</v>
      </c>
      <c r="W77" s="90" t="str">
        <f>IF(ISERR(X77*$AC$1/375),"",(X77*$AC$1/375))</f>
        <v/>
      </c>
      <c r="X77" s="15" t="str">
        <f>IF(ISERR(((($AC$1)^2)*0.002558)*E77*$F$1),"",(((($AC$1)^2)*0.002558)*E77*$F$1))</f>
        <v/>
      </c>
      <c r="Y77" s="15"/>
      <c r="Z77" s="91"/>
      <c r="AA77" s="90" t="str">
        <f t="shared" si="75"/>
        <v/>
      </c>
      <c r="AB77" s="15" t="str">
        <f t="shared" si="75"/>
        <v/>
      </c>
      <c r="AC77" s="15" t="str">
        <f t="shared" si="75"/>
        <v/>
      </c>
      <c r="AD77" s="15" t="str">
        <f t="shared" si="75"/>
        <v/>
      </c>
      <c r="AE77" s="15"/>
      <c r="AF77" s="15"/>
      <c r="AG77" s="15"/>
      <c r="AH77" s="91"/>
      <c r="AI77" s="96" t="str">
        <f>IF(ISERR(AA77/X77),"",(AA77/X77))</f>
        <v/>
      </c>
      <c r="AJ77" s="97" t="str">
        <f>IF(ISERR(AB77/AA77),"",(AB77/AA77))</f>
        <v/>
      </c>
      <c r="AK77" s="139" t="str">
        <f>IF((ISERROR((Coeff!AB77+TestInfoPage!$B$6)/(Coeff!AA77+TestInfoPage!$B$5))),"",((Coeff!AB77+TestInfoPage!$B$6)/(Coeff!AA77+TestInfoPage!$B$5)))</f>
        <v/>
      </c>
      <c r="AL77" s="96"/>
      <c r="AM77" s="36"/>
      <c r="AN77" s="142"/>
      <c r="AO77" s="79" t="str">
        <f t="shared" si="65"/>
        <v/>
      </c>
      <c r="AP77" s="4" t="s">
        <v>119</v>
      </c>
      <c r="AQ77" s="4" t="s">
        <v>119</v>
      </c>
      <c r="AR77" s="4" t="s">
        <v>119</v>
      </c>
      <c r="AS77" s="4" t="s">
        <v>119</v>
      </c>
      <c r="AT77" s="7"/>
      <c r="AU77" s="7"/>
      <c r="AV77" s="7"/>
      <c r="AW77" s="80"/>
      <c r="AX77" s="81" t="s">
        <v>119</v>
      </c>
      <c r="AY77" s="4" t="s">
        <v>119</v>
      </c>
      <c r="AZ77" s="15"/>
      <c r="BA77" s="91"/>
      <c r="BB77" s="79" t="s">
        <v>119</v>
      </c>
      <c r="BC77" s="7" t="s">
        <v>119</v>
      </c>
      <c r="BD77" s="7" t="s">
        <v>119</v>
      </c>
      <c r="BE77" s="7" t="s">
        <v>119</v>
      </c>
      <c r="BF77" s="7" t="s">
        <v>119</v>
      </c>
      <c r="BG77" s="7" t="s">
        <v>119</v>
      </c>
      <c r="BH77" s="7" t="s">
        <v>119</v>
      </c>
      <c r="BI77" s="7" t="s">
        <v>119</v>
      </c>
      <c r="BJ77" s="7" t="s">
        <v>119</v>
      </c>
      <c r="BK77" s="7" t="s">
        <v>119</v>
      </c>
      <c r="BL77" s="7" t="s">
        <v>119</v>
      </c>
      <c r="BM77" s="7" t="s">
        <v>119</v>
      </c>
      <c r="BN77" s="7" t="s">
        <v>119</v>
      </c>
      <c r="BO77" s="7" t="s">
        <v>119</v>
      </c>
      <c r="BP77" s="7" t="s">
        <v>119</v>
      </c>
      <c r="BQ77" s="7" t="s">
        <v>119</v>
      </c>
      <c r="BR77" s="7" t="s">
        <v>119</v>
      </c>
      <c r="BS77" s="80" t="s">
        <v>119</v>
      </c>
      <c r="BT77" s="107"/>
      <c r="BU77" s="100"/>
      <c r="BV77" s="100"/>
      <c r="BW77" s="100"/>
      <c r="BX77" s="100"/>
      <c r="BY77" s="100"/>
      <c r="BZ77" s="100"/>
      <c r="CA77" s="100"/>
      <c r="CB77" s="100"/>
      <c r="CC77" s="100"/>
      <c r="CD77" s="100"/>
      <c r="CE77" s="100"/>
      <c r="CF77" s="100"/>
      <c r="CG77" s="100"/>
      <c r="CH77" s="100"/>
      <c r="CI77" s="100"/>
      <c r="CJ77" s="100"/>
      <c r="CK77" s="108"/>
      <c r="CL77" s="1"/>
    </row>
    <row r="78" spans="1:90" ht="13.5" customHeight="1" thickBot="1" x14ac:dyDescent="0.3">
      <c r="A78" s="158">
        <v>0</v>
      </c>
      <c r="B78" s="10"/>
      <c r="C78" s="10">
        <v>4</v>
      </c>
      <c r="D78" s="76"/>
      <c r="E78" s="81" t="s">
        <v>119</v>
      </c>
      <c r="F78" s="80"/>
      <c r="G78" s="4" t="s">
        <v>119</v>
      </c>
      <c r="H78" s="4" t="s">
        <v>119</v>
      </c>
      <c r="I78" s="4" t="s">
        <v>119</v>
      </c>
      <c r="J78" s="4" t="s">
        <v>119</v>
      </c>
      <c r="K78" s="7"/>
      <c r="L78" s="7"/>
      <c r="M78" s="7"/>
      <c r="N78" s="7"/>
      <c r="O78" s="81" t="s">
        <v>119</v>
      </c>
      <c r="P78" s="4" t="s">
        <v>119</v>
      </c>
      <c r="Q78" s="4" t="s">
        <v>119</v>
      </c>
      <c r="R78" s="7"/>
      <c r="S78" s="7"/>
      <c r="T78" s="84"/>
      <c r="U78" s="6" t="s">
        <v>119</v>
      </c>
      <c r="V78" s="6" t="s">
        <v>119</v>
      </c>
      <c r="W78" s="90" t="str">
        <f>IF(ISERR(X78*$AC$1/375),"",(X78*$AC$1/375))</f>
        <v/>
      </c>
      <c r="X78" s="15" t="str">
        <f>IF(ISERR(((($AC$1)^2)*0.002558)*E78*$F$1),"",(((($AC$1)^2)*0.002558)*E78*$F$1))</f>
        <v/>
      </c>
      <c r="Y78" s="15"/>
      <c r="Z78" s="91"/>
      <c r="AA78" s="90" t="str">
        <f t="shared" si="75"/>
        <v/>
      </c>
      <c r="AB78" s="15" t="str">
        <f t="shared" si="75"/>
        <v/>
      </c>
      <c r="AC78" s="15" t="str">
        <f t="shared" si="75"/>
        <v/>
      </c>
      <c r="AD78" s="15" t="str">
        <f t="shared" si="75"/>
        <v/>
      </c>
      <c r="AE78" s="15"/>
      <c r="AF78" s="15"/>
      <c r="AG78" s="15"/>
      <c r="AH78" s="91"/>
      <c r="AI78" s="96" t="str">
        <f>IF(ISERR(AA78/X78),"",(AA78/X78))</f>
        <v/>
      </c>
      <c r="AJ78" s="97" t="str">
        <f>IF(ISERR(AB78/AA78),"",(AB78/AA78))</f>
        <v/>
      </c>
      <c r="AK78" s="139" t="str">
        <f>IF((ISERROR((Coeff!AB78+TestInfoPage!$B$6)/(Coeff!AA78+TestInfoPage!$B$5))),"",((Coeff!AB78+TestInfoPage!$B$6)/(Coeff!AA78+TestInfoPage!$B$5)))</f>
        <v/>
      </c>
      <c r="AL78" s="96"/>
      <c r="AM78" s="36"/>
      <c r="AN78" s="142"/>
      <c r="AO78" s="79" t="str">
        <f t="shared" si="65"/>
        <v/>
      </c>
      <c r="AP78" s="4" t="s">
        <v>119</v>
      </c>
      <c r="AQ78" s="4" t="s">
        <v>119</v>
      </c>
      <c r="AR78" s="4" t="s">
        <v>119</v>
      </c>
      <c r="AS78" s="4" t="s">
        <v>119</v>
      </c>
      <c r="AT78" s="7"/>
      <c r="AU78" s="7"/>
      <c r="AV78" s="7"/>
      <c r="AW78" s="80"/>
      <c r="AX78" s="81" t="s">
        <v>119</v>
      </c>
      <c r="AY78" s="4" t="s">
        <v>119</v>
      </c>
      <c r="AZ78" s="15"/>
      <c r="BA78" s="91"/>
      <c r="BB78" s="163" t="s">
        <v>119</v>
      </c>
      <c r="BC78" s="157" t="s">
        <v>119</v>
      </c>
      <c r="BD78" s="157" t="s">
        <v>119</v>
      </c>
      <c r="BE78" s="157" t="s">
        <v>119</v>
      </c>
      <c r="BF78" s="157" t="s">
        <v>119</v>
      </c>
      <c r="BG78" s="157" t="s">
        <v>119</v>
      </c>
      <c r="BH78" s="157" t="s">
        <v>119</v>
      </c>
      <c r="BI78" s="157" t="s">
        <v>119</v>
      </c>
      <c r="BJ78" s="157" t="s">
        <v>119</v>
      </c>
      <c r="BK78" s="157" t="s">
        <v>119</v>
      </c>
      <c r="BL78" s="157" t="s">
        <v>119</v>
      </c>
      <c r="BM78" s="157" t="s">
        <v>119</v>
      </c>
      <c r="BN78" s="157" t="s">
        <v>119</v>
      </c>
      <c r="BO78" s="157" t="s">
        <v>119</v>
      </c>
      <c r="BP78" s="157" t="s">
        <v>119</v>
      </c>
      <c r="BQ78" s="157" t="s">
        <v>119</v>
      </c>
      <c r="BR78" s="157" t="s">
        <v>119</v>
      </c>
      <c r="BS78" s="84" t="s">
        <v>119</v>
      </c>
      <c r="BT78" s="107"/>
      <c r="BU78" s="100"/>
      <c r="BV78" s="100"/>
      <c r="BW78" s="100"/>
      <c r="BX78" s="100"/>
      <c r="BY78" s="100"/>
      <c r="BZ78" s="100"/>
      <c r="CA78" s="100"/>
      <c r="CB78" s="100"/>
      <c r="CC78" s="100"/>
      <c r="CD78" s="100"/>
      <c r="CE78" s="100"/>
      <c r="CF78" s="100"/>
      <c r="CG78" s="100"/>
      <c r="CH78" s="100"/>
      <c r="CI78" s="100"/>
      <c r="CJ78" s="100"/>
      <c r="CK78" s="108"/>
      <c r="CL78" s="1"/>
    </row>
    <row r="79" spans="1:90" ht="14.25" thickBot="1" x14ac:dyDescent="0.3">
      <c r="A79" s="158">
        <v>0</v>
      </c>
      <c r="B79" s="9">
        <f>B74+1</f>
        <v>16</v>
      </c>
      <c r="C79" s="66" t="s">
        <v>56</v>
      </c>
      <c r="D79" s="75"/>
      <c r="E79" s="82" t="str">
        <f>IF(ISERR(AVERAGE(E80:E83)),"",AVERAGE(E80:E83))</f>
        <v/>
      </c>
      <c r="F79" s="78" t="str">
        <f>IF($D79="","",E79-VLOOKUP($D79,$B$4:$BS$990,4,FALSE))</f>
        <v/>
      </c>
      <c r="G79" s="44" t="str">
        <f t="shared" ref="G79:Q79" si="76">IF(ISERR(AVERAGE(G80:G83)),"",AVERAGE(G80:G83))</f>
        <v/>
      </c>
      <c r="H79" s="8" t="str">
        <f t="shared" si="76"/>
        <v/>
      </c>
      <c r="I79" s="8" t="str">
        <f t="shared" si="76"/>
        <v/>
      </c>
      <c r="J79" s="44" t="str">
        <f>IF(ISERR(AVERAGE(J80:J83)),"",AVERAGE(J80:J83))</f>
        <v/>
      </c>
      <c r="K79" s="56" t="str">
        <f>IF($D79="","",G79-VLOOKUP($D79,$B$4:$BS$990,6,FALSE))</f>
        <v/>
      </c>
      <c r="L79" s="56" t="str">
        <f>IF($D79="","",H79-VLOOKUP($D79,$B$4:$BS$990,7,FALSE))</f>
        <v/>
      </c>
      <c r="M79" s="56" t="str">
        <f>IF($D79="","",I79-VLOOKUP($D79,$B$4:$BS$990,8,FALSE))</f>
        <v/>
      </c>
      <c r="N79" s="74" t="str">
        <f>IF($D79="","",J79-VLOOKUP($D79,$B$4:$BS$990,9,FALSE))</f>
        <v/>
      </c>
      <c r="O79" s="82" t="str">
        <f t="shared" si="76"/>
        <v/>
      </c>
      <c r="P79" s="8" t="str">
        <f t="shared" si="76"/>
        <v/>
      </c>
      <c r="Q79" s="8" t="str">
        <f t="shared" si="76"/>
        <v/>
      </c>
      <c r="R79" s="56" t="str">
        <f>IF($D79="","",O79-VLOOKUP($D79,$B$4:$BS$990,14,FALSE))</f>
        <v/>
      </c>
      <c r="S79" s="56" t="str">
        <f>IF($D79="","",P79-VLOOKUP($D79,$B$4:$BS$990,15,FALSE))</f>
        <v/>
      </c>
      <c r="T79" s="78" t="str">
        <f>IF($D79="","",Q79-VLOOKUP($D79,$B$4:$BS$990,16,FALSE))</f>
        <v/>
      </c>
      <c r="U79" s="44" t="str">
        <f t="shared" ref="U79:AS79" si="77">IF(ISERR(AVERAGE(U80:U83)),"",AVERAGE(U80:U83))</f>
        <v/>
      </c>
      <c r="V79" s="11" t="str">
        <f t="shared" si="77"/>
        <v/>
      </c>
      <c r="W79" s="88" t="str">
        <f t="shared" si="77"/>
        <v/>
      </c>
      <c r="X79" s="32" t="str">
        <f t="shared" si="77"/>
        <v/>
      </c>
      <c r="Y79" s="71" t="str">
        <f>IF($D79="","",W79-VLOOKUP($D79,$B$4:$BS$990,22,FALSE))</f>
        <v/>
      </c>
      <c r="Z79" s="89" t="str">
        <f>IF($D79="","",X79-VLOOKUP($D79,$B$4:$BS$990,23,FALSE))</f>
        <v/>
      </c>
      <c r="AA79" s="88" t="str">
        <f t="shared" si="77"/>
        <v/>
      </c>
      <c r="AB79" s="31" t="str">
        <f t="shared" si="77"/>
        <v/>
      </c>
      <c r="AC79" s="31" t="str">
        <f t="shared" si="77"/>
        <v/>
      </c>
      <c r="AD79" s="32" t="str">
        <f>IF(ISERR(AVERAGE(AD80:AD83)),"",AVERAGE(AD80:AD83))</f>
        <v/>
      </c>
      <c r="AE79" s="71" t="str">
        <f>IF($D79="","",AA79-VLOOKUP($D79,$B$4:$BS$990,26,FALSE))</f>
        <v/>
      </c>
      <c r="AF79" s="71" t="str">
        <f>IF($D79="","",AB79-VLOOKUP($D79,$B$4:$BS$990,27,FALSE))</f>
        <v/>
      </c>
      <c r="AG79" s="92" t="str">
        <f>IF($D79="","",AC79-VLOOKUP($D79,$B$4:$BS$990,28,FALSE))</f>
        <v/>
      </c>
      <c r="AH79" s="89" t="str">
        <f>IF($D79="","",AD79-VLOOKUP($D79,$B$4:$BS$990,29,FALSE))</f>
        <v/>
      </c>
      <c r="AI79" s="95" t="str">
        <f t="shared" si="77"/>
        <v/>
      </c>
      <c r="AJ79" s="35" t="str">
        <f t="shared" si="77"/>
        <v/>
      </c>
      <c r="AK79" s="138" t="str">
        <f>IF((ISERROR((Coeff!AB79+TestInfoPage!$B$6)/(Coeff!AA79+TestInfoPage!$B$5))),"",((Coeff!AB79+TestInfoPage!$B$6)/(Coeff!AA79+TestInfoPage!$B$5)))</f>
        <v/>
      </c>
      <c r="AL79" s="135" t="str">
        <f>IF($D79="","",AI79-VLOOKUP($D79,$B$4:$BS$990,34,FALSE))</f>
        <v/>
      </c>
      <c r="AM79" s="72" t="str">
        <f>IF($D79="","",AJ79-VLOOKUP($D79,$B$4:$BS$990,35,FALSE))</f>
        <v/>
      </c>
      <c r="AN79" s="115" t="str">
        <f>IF($D79="","",AK79-VLOOKUP($D79,$B$4:$BS$990,36,FALSE))</f>
        <v/>
      </c>
      <c r="AO79" s="134" t="str">
        <f t="shared" si="65"/>
        <v/>
      </c>
      <c r="AP79" s="44" t="str">
        <f t="shared" si="77"/>
        <v/>
      </c>
      <c r="AQ79" s="8" t="str">
        <f t="shared" si="77"/>
        <v/>
      </c>
      <c r="AR79" s="11" t="str">
        <f t="shared" si="77"/>
        <v/>
      </c>
      <c r="AS79" s="11" t="str">
        <f t="shared" si="77"/>
        <v/>
      </c>
      <c r="AT79" s="56" t="str">
        <f>IF(ISERR(AP79-VLOOKUP($D79,$B$4:$BS$990,41,FALSE)),"",(AP79-VLOOKUP($D79,$B$4:$BS$990,41,FALSE)))</f>
        <v/>
      </c>
      <c r="AU79" s="56" t="str">
        <f>IF(ISERR(AQ79-VLOOKUP($D79,$B$4:$BS$990,42,FALSE)),"",(AQ79-VLOOKUP($D79,$B$4:$BS$990,42,FALSE)))</f>
        <v/>
      </c>
      <c r="AV79" s="74" t="str">
        <f>IF(ISERR(AR79-VLOOKUP($D79,$B$4:$BS$990,43,FALSE)),"",AR79-VLOOKUP($D79,$B$4:$BS$990,43,FALSE))</f>
        <v/>
      </c>
      <c r="AW79" s="74" t="str">
        <f>IF(ISERR(AS79-VLOOKUP($D79,$B$4:$BS$990,44,FALSE)),"",AS79-VLOOKUP($D79,$B$4:$BS$990,44,FALSE))</f>
        <v/>
      </c>
      <c r="AX79" s="82" t="str">
        <f t="shared" ref="AX79:AY79" si="78">IF(ISERR(AVERAGE(AX80:AX83)),"",AVERAGE(AX80:AX83))</f>
        <v/>
      </c>
      <c r="AY79" s="11" t="str">
        <f t="shared" si="78"/>
        <v/>
      </c>
      <c r="AZ79" s="89" t="str">
        <f>IF(ISERR(AX79-VLOOKUP($D79,$B$4:$BS$990,49,FALSE)),"",(AX79-VLOOKUP($D79,$B$4:$BS$990,49,FALSE)))</f>
        <v/>
      </c>
      <c r="BA79" s="89" t="str">
        <f>IF(ISERR(AY79-VLOOKUP($D79,$B$4:$BS$990,50,FALSE)),"",(AY79-VLOOKUP($D79,$B$4:$BS$990,50,FALSE)))</f>
        <v/>
      </c>
      <c r="BB79" s="82" t="str">
        <f t="shared" ref="BB79:BS79" si="79">IF(ISERR(AVERAGE(BB80:BB83)),"",AVERAGE(BB80:BB83))</f>
        <v/>
      </c>
      <c r="BC79" s="8" t="str">
        <f t="shared" si="79"/>
        <v/>
      </c>
      <c r="BD79" s="8" t="str">
        <f t="shared" si="79"/>
        <v/>
      </c>
      <c r="BE79" s="8" t="str">
        <f t="shared" si="79"/>
        <v/>
      </c>
      <c r="BF79" s="8" t="str">
        <f t="shared" si="79"/>
        <v/>
      </c>
      <c r="BG79" s="8" t="str">
        <f t="shared" si="79"/>
        <v/>
      </c>
      <c r="BH79" s="8" t="str">
        <f t="shared" si="79"/>
        <v/>
      </c>
      <c r="BI79" s="8" t="str">
        <f t="shared" si="79"/>
        <v/>
      </c>
      <c r="BJ79" s="8" t="str">
        <f t="shared" si="79"/>
        <v/>
      </c>
      <c r="BK79" s="8" t="str">
        <f t="shared" si="79"/>
        <v/>
      </c>
      <c r="BL79" s="8" t="str">
        <f t="shared" si="79"/>
        <v/>
      </c>
      <c r="BM79" s="8" t="str">
        <f t="shared" si="79"/>
        <v/>
      </c>
      <c r="BN79" s="8" t="str">
        <f t="shared" si="79"/>
        <v/>
      </c>
      <c r="BO79" s="8" t="str">
        <f t="shared" si="79"/>
        <v/>
      </c>
      <c r="BP79" s="8" t="str">
        <f t="shared" si="79"/>
        <v/>
      </c>
      <c r="BQ79" s="8" t="str">
        <f t="shared" si="79"/>
        <v/>
      </c>
      <c r="BR79" s="8" t="str">
        <f t="shared" si="79"/>
        <v/>
      </c>
      <c r="BS79" s="103" t="str">
        <f t="shared" si="79"/>
        <v/>
      </c>
      <c r="BT79" s="106" t="str">
        <f>IF($D79="","",BB79-VLOOKUP($D79,$B$4:$BS$990,53,FALSE))</f>
        <v/>
      </c>
      <c r="BU79" s="56" t="str">
        <f>IF($D79="","",BC79-VLOOKUP($D79,$B$4:$BS$990,54,FALSE))</f>
        <v/>
      </c>
      <c r="BV79" s="56" t="str">
        <f>IF($D79="","",BD79-VLOOKUP($D79,$B$4:$BS$990,55,FALSE))</f>
        <v/>
      </c>
      <c r="BW79" s="56" t="str">
        <f>IF($D79="","",BE79-VLOOKUP($D79,$B$4:$BS$990,56,FALSE))</f>
        <v/>
      </c>
      <c r="BX79" s="56" t="str">
        <f>IF($D79="","",BF79-VLOOKUP($D79,$B$4:$BS$990,57,FALSE))</f>
        <v/>
      </c>
      <c r="BY79" s="56" t="str">
        <f>IF($D79="","",BG79-VLOOKUP($D79,$B$4:$BS$990,58,FALSE))</f>
        <v/>
      </c>
      <c r="BZ79" s="56" t="str">
        <f>IF($D79="","",BH79-VLOOKUP($D79,$B$4:$BS$990,59,FALSE))</f>
        <v/>
      </c>
      <c r="CA79" s="56" t="str">
        <f>IF($D79="","",BI79-VLOOKUP($D79,$B$4:$BS$990,60,FALSE))</f>
        <v/>
      </c>
      <c r="CB79" s="56" t="str">
        <f>IF($D79="","",BJ79-VLOOKUP($D79,$B$4:$BS$990,61,FALSE))</f>
        <v/>
      </c>
      <c r="CC79" s="56" t="str">
        <f>IF($D79="","",BK79-VLOOKUP($D79,$B$4:$BS$990,62,FALSE))</f>
        <v/>
      </c>
      <c r="CD79" s="56" t="str">
        <f>IF($D79="","",BL79-VLOOKUP($D79,$B$4:$BS$990,63,FALSE))</f>
        <v/>
      </c>
      <c r="CE79" s="56" t="str">
        <f>IF($D79="","",BM79-VLOOKUP($D79,$B$4:$BS$990,64,FALSE))</f>
        <v/>
      </c>
      <c r="CF79" s="56" t="str">
        <f>IF($D79="","",BN79-VLOOKUP($D79,$B$4:$BS$990,65,FALSE))</f>
        <v/>
      </c>
      <c r="CG79" s="56" t="str">
        <f>IF($D79="","",BO79-VLOOKUP($D79,$B$4:$BS$990,66,FALSE))</f>
        <v/>
      </c>
      <c r="CH79" s="56" t="str">
        <f>IF($D79="","",BP79-VLOOKUP($D79,$B$4:$BS$990,67,FALSE))</f>
        <v/>
      </c>
      <c r="CI79" s="56" t="str">
        <f>IF($D79="","",BQ79-VLOOKUP($D79,$B$4:$BS$990,68,FALSE))</f>
        <v/>
      </c>
      <c r="CJ79" s="56" t="str">
        <f>IF($D79="","",BR79-VLOOKUP($D79,$B$4:$BS$990,69,FALSE))</f>
        <v/>
      </c>
      <c r="CK79" s="78" t="str">
        <f>IF($D79="","",BS79-VLOOKUP($D79,$B$4:$BS$990,70,FALSE))</f>
        <v/>
      </c>
      <c r="CL79" s="1"/>
    </row>
    <row r="80" spans="1:90" x14ac:dyDescent="0.25">
      <c r="A80" s="158">
        <v>0</v>
      </c>
      <c r="B80" s="10"/>
      <c r="C80" s="10">
        <v>1</v>
      </c>
      <c r="D80" s="76"/>
      <c r="E80" s="79" t="s">
        <v>119</v>
      </c>
      <c r="F80" s="80"/>
      <c r="G80" s="7" t="s">
        <v>119</v>
      </c>
      <c r="H80" s="7" t="s">
        <v>119</v>
      </c>
      <c r="I80" s="7" t="s">
        <v>119</v>
      </c>
      <c r="J80" s="7" t="s">
        <v>119</v>
      </c>
      <c r="K80" s="7"/>
      <c r="L80" s="7"/>
      <c r="M80" s="7"/>
      <c r="N80" s="7"/>
      <c r="O80" s="79" t="s">
        <v>119</v>
      </c>
      <c r="P80" s="7" t="s">
        <v>119</v>
      </c>
      <c r="Q80" s="7" t="s">
        <v>119</v>
      </c>
      <c r="R80" s="7"/>
      <c r="S80" s="7"/>
      <c r="T80" s="80"/>
      <c r="U80" s="6" t="s">
        <v>119</v>
      </c>
      <c r="V80" s="6" t="s">
        <v>119</v>
      </c>
      <c r="W80" s="90" t="str">
        <f>IF(ISERR(X80*$AC$1/375),"",(X80*$AC$1/375))</f>
        <v/>
      </c>
      <c r="X80" s="15" t="str">
        <f>IF(ISERR(((($AC$1)^2)*0.002558)*E80*$F$1),"",(((($AC$1)^2)*0.002558)*E80*$F$1))</f>
        <v/>
      </c>
      <c r="Y80" s="15"/>
      <c r="Z80" s="91"/>
      <c r="AA80" s="90" t="str">
        <f t="shared" ref="AA80:AD83" si="80">IF(ISERR(((($AC$1)^2)*0.002558)*G80*$F$1),"",(((($AC$1)^2)*0.002558)*G80*$F$1))</f>
        <v/>
      </c>
      <c r="AB80" s="15" t="str">
        <f t="shared" si="80"/>
        <v/>
      </c>
      <c r="AC80" s="15" t="str">
        <f t="shared" si="80"/>
        <v/>
      </c>
      <c r="AD80" s="15" t="str">
        <f t="shared" si="80"/>
        <v/>
      </c>
      <c r="AE80" s="15"/>
      <c r="AF80" s="15"/>
      <c r="AG80" s="15"/>
      <c r="AH80" s="91"/>
      <c r="AI80" s="96" t="str">
        <f>IF(ISERR(AA80/X80),"",(AA80/X80))</f>
        <v/>
      </c>
      <c r="AJ80" s="36" t="str">
        <f>IF(ISERR(AB80/AA80),"",(AB80/AA80))</f>
        <v/>
      </c>
      <c r="AK80" s="139" t="str">
        <f>IF((ISERROR((Coeff!AB80+TestInfoPage!$B$6)/(Coeff!AA80+TestInfoPage!$B$5))),"",((Coeff!AB80+TestInfoPage!$B$6)/(Coeff!AA80+TestInfoPage!$B$5)))</f>
        <v/>
      </c>
      <c r="AL80" s="96"/>
      <c r="AM80" s="36"/>
      <c r="AN80" s="142"/>
      <c r="AO80" s="79" t="str">
        <f t="shared" si="65"/>
        <v/>
      </c>
      <c r="AP80" s="4" t="s">
        <v>119</v>
      </c>
      <c r="AQ80" s="4" t="s">
        <v>119</v>
      </c>
      <c r="AR80" s="4" t="s">
        <v>119</v>
      </c>
      <c r="AS80" s="4" t="s">
        <v>119</v>
      </c>
      <c r="AT80" s="7"/>
      <c r="AU80" s="7"/>
      <c r="AV80" s="7"/>
      <c r="AW80" s="80"/>
      <c r="AX80" s="81" t="s">
        <v>119</v>
      </c>
      <c r="AY80" s="4" t="s">
        <v>119</v>
      </c>
      <c r="AZ80" s="15"/>
      <c r="BA80" s="91"/>
      <c r="BB80" s="162" t="s">
        <v>119</v>
      </c>
      <c r="BC80" s="128" t="s">
        <v>119</v>
      </c>
      <c r="BD80" s="128" t="s">
        <v>119</v>
      </c>
      <c r="BE80" s="128" t="s">
        <v>119</v>
      </c>
      <c r="BF80" s="128" t="s">
        <v>119</v>
      </c>
      <c r="BG80" s="128" t="s">
        <v>119</v>
      </c>
      <c r="BH80" s="128" t="s">
        <v>119</v>
      </c>
      <c r="BI80" s="128" t="s">
        <v>119</v>
      </c>
      <c r="BJ80" s="128" t="s">
        <v>119</v>
      </c>
      <c r="BK80" s="128" t="s">
        <v>119</v>
      </c>
      <c r="BL80" s="128" t="s">
        <v>119</v>
      </c>
      <c r="BM80" s="128" t="s">
        <v>119</v>
      </c>
      <c r="BN80" s="128" t="s">
        <v>119</v>
      </c>
      <c r="BO80" s="128" t="s">
        <v>119</v>
      </c>
      <c r="BP80" s="128" t="s">
        <v>119</v>
      </c>
      <c r="BQ80" s="128" t="s">
        <v>119</v>
      </c>
      <c r="BR80" s="128" t="s">
        <v>119</v>
      </c>
      <c r="BS80" s="129" t="s">
        <v>119</v>
      </c>
      <c r="BT80" s="109"/>
      <c r="BU80" s="101"/>
      <c r="BV80" s="101"/>
      <c r="BW80" s="101"/>
      <c r="BX80" s="101"/>
      <c r="BY80" s="101"/>
      <c r="BZ80" s="101"/>
      <c r="CA80" s="101"/>
      <c r="CB80" s="101"/>
      <c r="CC80" s="101"/>
      <c r="CD80" s="101"/>
      <c r="CE80" s="101"/>
      <c r="CF80" s="101"/>
      <c r="CG80" s="101"/>
      <c r="CH80" s="101"/>
      <c r="CI80" s="101"/>
      <c r="CJ80" s="101"/>
      <c r="CK80" s="110"/>
      <c r="CL80" s="1"/>
    </row>
    <row r="81" spans="1:90" x14ac:dyDescent="0.25">
      <c r="A81" s="158">
        <v>0</v>
      </c>
      <c r="B81" s="10"/>
      <c r="C81" s="10">
        <v>2</v>
      </c>
      <c r="D81" s="76"/>
      <c r="E81" s="81" t="s">
        <v>119</v>
      </c>
      <c r="F81" s="80"/>
      <c r="G81" s="4" t="s">
        <v>119</v>
      </c>
      <c r="H81" s="4" t="s">
        <v>119</v>
      </c>
      <c r="I81" s="4" t="s">
        <v>119</v>
      </c>
      <c r="J81" s="4" t="s">
        <v>119</v>
      </c>
      <c r="K81" s="7"/>
      <c r="L81" s="7"/>
      <c r="M81" s="7"/>
      <c r="N81" s="7"/>
      <c r="O81" s="81" t="s">
        <v>119</v>
      </c>
      <c r="P81" s="4" t="s">
        <v>119</v>
      </c>
      <c r="Q81" s="4" t="s">
        <v>119</v>
      </c>
      <c r="R81" s="7"/>
      <c r="S81" s="7"/>
      <c r="T81" s="80"/>
      <c r="U81" s="6" t="s">
        <v>119</v>
      </c>
      <c r="V81" s="6" t="s">
        <v>119</v>
      </c>
      <c r="W81" s="90" t="str">
        <f>IF(ISERR(X81*$AC$1/375),"",(X81*$AC$1/375))</f>
        <v/>
      </c>
      <c r="X81" s="15" t="str">
        <f>IF(ISERR(((($AC$1)^2)*0.002558)*E81*$F$1),"",(((($AC$1)^2)*0.002558)*E81*$F$1))</f>
        <v/>
      </c>
      <c r="Y81" s="15"/>
      <c r="Z81" s="91"/>
      <c r="AA81" s="90" t="str">
        <f t="shared" si="80"/>
        <v/>
      </c>
      <c r="AB81" s="15" t="str">
        <f t="shared" si="80"/>
        <v/>
      </c>
      <c r="AC81" s="15" t="str">
        <f t="shared" si="80"/>
        <v/>
      </c>
      <c r="AD81" s="15" t="str">
        <f t="shared" si="80"/>
        <v/>
      </c>
      <c r="AE81" s="15"/>
      <c r="AF81" s="15"/>
      <c r="AG81" s="15"/>
      <c r="AH81" s="91"/>
      <c r="AI81" s="96" t="str">
        <f>IF(ISERR(AA81/X81),"",(AA81/X81))</f>
        <v/>
      </c>
      <c r="AJ81" s="97" t="str">
        <f>IF(ISERR(AB81/AA81),"",(AB81/AA81))</f>
        <v/>
      </c>
      <c r="AK81" s="139" t="str">
        <f>IF((ISERROR((Coeff!AB81+TestInfoPage!$B$6)/(Coeff!AA81+TestInfoPage!$B$5))),"",((Coeff!AB81+TestInfoPage!$B$6)/(Coeff!AA81+TestInfoPage!$B$5)))</f>
        <v/>
      </c>
      <c r="AL81" s="96"/>
      <c r="AM81" s="36"/>
      <c r="AN81" s="142"/>
      <c r="AO81" s="79" t="str">
        <f t="shared" si="65"/>
        <v/>
      </c>
      <c r="AP81" s="4" t="s">
        <v>119</v>
      </c>
      <c r="AQ81" s="4" t="s">
        <v>119</v>
      </c>
      <c r="AR81" s="4" t="s">
        <v>119</v>
      </c>
      <c r="AS81" s="4" t="s">
        <v>119</v>
      </c>
      <c r="AT81" s="7"/>
      <c r="AU81" s="7"/>
      <c r="AV81" s="7"/>
      <c r="AW81" s="80"/>
      <c r="AX81" s="81" t="s">
        <v>119</v>
      </c>
      <c r="AY81" s="4" t="s">
        <v>119</v>
      </c>
      <c r="AZ81" s="15"/>
      <c r="BA81" s="91"/>
      <c r="BB81" s="79" t="s">
        <v>119</v>
      </c>
      <c r="BC81" s="7" t="s">
        <v>119</v>
      </c>
      <c r="BD81" s="7" t="s">
        <v>119</v>
      </c>
      <c r="BE81" s="7" t="s">
        <v>119</v>
      </c>
      <c r="BF81" s="7" t="s">
        <v>119</v>
      </c>
      <c r="BG81" s="7" t="s">
        <v>119</v>
      </c>
      <c r="BH81" s="7" t="s">
        <v>119</v>
      </c>
      <c r="BI81" s="7" t="s">
        <v>119</v>
      </c>
      <c r="BJ81" s="7" t="s">
        <v>119</v>
      </c>
      <c r="BK81" s="7" t="s">
        <v>119</v>
      </c>
      <c r="BL81" s="7" t="s">
        <v>119</v>
      </c>
      <c r="BM81" s="7" t="s">
        <v>119</v>
      </c>
      <c r="BN81" s="7" t="s">
        <v>119</v>
      </c>
      <c r="BO81" s="7" t="s">
        <v>119</v>
      </c>
      <c r="BP81" s="7" t="s">
        <v>119</v>
      </c>
      <c r="BQ81" s="7" t="s">
        <v>119</v>
      </c>
      <c r="BR81" s="7" t="s">
        <v>119</v>
      </c>
      <c r="BS81" s="80" t="s">
        <v>119</v>
      </c>
      <c r="BT81" s="109"/>
      <c r="BU81" s="101"/>
      <c r="BV81" s="101"/>
      <c r="BW81" s="101"/>
      <c r="BX81" s="101"/>
      <c r="BY81" s="101"/>
      <c r="BZ81" s="101"/>
      <c r="CA81" s="101"/>
      <c r="CB81" s="101"/>
      <c r="CC81" s="101"/>
      <c r="CD81" s="101"/>
      <c r="CE81" s="101"/>
      <c r="CF81" s="101"/>
      <c r="CG81" s="101"/>
      <c r="CH81" s="101"/>
      <c r="CI81" s="101"/>
      <c r="CJ81" s="101"/>
      <c r="CK81" s="110"/>
      <c r="CL81" s="1"/>
    </row>
    <row r="82" spans="1:90" ht="13.5" customHeight="1" x14ac:dyDescent="0.25">
      <c r="A82" s="158">
        <v>0</v>
      </c>
      <c r="B82" s="10"/>
      <c r="C82" s="10">
        <v>3</v>
      </c>
      <c r="D82" s="76"/>
      <c r="E82" s="81" t="s">
        <v>119</v>
      </c>
      <c r="F82" s="80"/>
      <c r="G82" s="4" t="s">
        <v>119</v>
      </c>
      <c r="H82" s="4" t="s">
        <v>119</v>
      </c>
      <c r="I82" s="4" t="s">
        <v>119</v>
      </c>
      <c r="J82" s="4" t="s">
        <v>119</v>
      </c>
      <c r="K82" s="7"/>
      <c r="L82" s="7"/>
      <c r="M82" s="7"/>
      <c r="N82" s="7"/>
      <c r="O82" s="81" t="s">
        <v>119</v>
      </c>
      <c r="P82" s="4" t="s">
        <v>119</v>
      </c>
      <c r="Q82" s="4" t="s">
        <v>119</v>
      </c>
      <c r="R82" s="7"/>
      <c r="S82" s="7"/>
      <c r="T82" s="80"/>
      <c r="U82" s="6" t="s">
        <v>119</v>
      </c>
      <c r="V82" s="6" t="s">
        <v>119</v>
      </c>
      <c r="W82" s="90" t="str">
        <f>IF(ISERR(X82*$AC$1/375),"",(X82*$AC$1/375))</f>
        <v/>
      </c>
      <c r="X82" s="15" t="str">
        <f>IF(ISERR(((($AC$1)^2)*0.002558)*E82*$F$1),"",(((($AC$1)^2)*0.002558)*E82*$F$1))</f>
        <v/>
      </c>
      <c r="Y82" s="15"/>
      <c r="Z82" s="91"/>
      <c r="AA82" s="90" t="str">
        <f t="shared" si="80"/>
        <v/>
      </c>
      <c r="AB82" s="15" t="str">
        <f t="shared" si="80"/>
        <v/>
      </c>
      <c r="AC82" s="15" t="str">
        <f t="shared" si="80"/>
        <v/>
      </c>
      <c r="AD82" s="15" t="str">
        <f t="shared" si="80"/>
        <v/>
      </c>
      <c r="AE82" s="15"/>
      <c r="AF82" s="15"/>
      <c r="AG82" s="15"/>
      <c r="AH82" s="91"/>
      <c r="AI82" s="96" t="str">
        <f>IF(ISERR(AA82/X82),"",(AA82/X82))</f>
        <v/>
      </c>
      <c r="AJ82" s="97" t="str">
        <f>IF(ISERR(AB82/AA82),"",(AB82/AA82))</f>
        <v/>
      </c>
      <c r="AK82" s="139" t="str">
        <f>IF((ISERROR((Coeff!AB82+TestInfoPage!$B$6)/(Coeff!AA82+TestInfoPage!$B$5))),"",((Coeff!AB82+TestInfoPage!$B$6)/(Coeff!AA82+TestInfoPage!$B$5)))</f>
        <v/>
      </c>
      <c r="AL82" s="96"/>
      <c r="AM82" s="36"/>
      <c r="AN82" s="142"/>
      <c r="AO82" s="79" t="str">
        <f t="shared" si="65"/>
        <v/>
      </c>
      <c r="AP82" s="4" t="s">
        <v>119</v>
      </c>
      <c r="AQ82" s="4" t="s">
        <v>119</v>
      </c>
      <c r="AR82" s="4" t="s">
        <v>119</v>
      </c>
      <c r="AS82" s="4" t="s">
        <v>119</v>
      </c>
      <c r="AT82" s="7"/>
      <c r="AU82" s="7"/>
      <c r="AV82" s="7"/>
      <c r="AW82" s="80"/>
      <c r="AX82" s="81" t="s">
        <v>119</v>
      </c>
      <c r="AY82" s="4" t="s">
        <v>119</v>
      </c>
      <c r="AZ82" s="15"/>
      <c r="BA82" s="91"/>
      <c r="BB82" s="79" t="s">
        <v>119</v>
      </c>
      <c r="BC82" s="7" t="s">
        <v>119</v>
      </c>
      <c r="BD82" s="7" t="s">
        <v>119</v>
      </c>
      <c r="BE82" s="7" t="s">
        <v>119</v>
      </c>
      <c r="BF82" s="7" t="s">
        <v>119</v>
      </c>
      <c r="BG82" s="7" t="s">
        <v>119</v>
      </c>
      <c r="BH82" s="7" t="s">
        <v>119</v>
      </c>
      <c r="BI82" s="7" t="s">
        <v>119</v>
      </c>
      <c r="BJ82" s="7" t="s">
        <v>119</v>
      </c>
      <c r="BK82" s="7" t="s">
        <v>119</v>
      </c>
      <c r="BL82" s="7" t="s">
        <v>119</v>
      </c>
      <c r="BM82" s="7" t="s">
        <v>119</v>
      </c>
      <c r="BN82" s="7" t="s">
        <v>119</v>
      </c>
      <c r="BO82" s="7" t="s">
        <v>119</v>
      </c>
      <c r="BP82" s="7" t="s">
        <v>119</v>
      </c>
      <c r="BQ82" s="7" t="s">
        <v>119</v>
      </c>
      <c r="BR82" s="7" t="s">
        <v>119</v>
      </c>
      <c r="BS82" s="80" t="s">
        <v>119</v>
      </c>
      <c r="BT82" s="109"/>
      <c r="BU82" s="101"/>
      <c r="BV82" s="101"/>
      <c r="BW82" s="101"/>
      <c r="BX82" s="101"/>
      <c r="BY82" s="101"/>
      <c r="BZ82" s="101"/>
      <c r="CA82" s="101"/>
      <c r="CB82" s="101"/>
      <c r="CC82" s="101"/>
      <c r="CD82" s="101"/>
      <c r="CE82" s="101"/>
      <c r="CF82" s="101"/>
      <c r="CG82" s="101"/>
      <c r="CH82" s="101"/>
      <c r="CI82" s="101"/>
      <c r="CJ82" s="101"/>
      <c r="CK82" s="110"/>
      <c r="CL82" s="1"/>
    </row>
    <row r="83" spans="1:90" ht="13.5" customHeight="1" thickBot="1" x14ac:dyDescent="0.3">
      <c r="A83" s="158">
        <v>0</v>
      </c>
      <c r="B83" s="10"/>
      <c r="C83" s="10">
        <v>4</v>
      </c>
      <c r="D83" s="76"/>
      <c r="E83" s="81" t="s">
        <v>119</v>
      </c>
      <c r="F83" s="80"/>
      <c r="G83" s="4" t="s">
        <v>119</v>
      </c>
      <c r="H83" s="4" t="s">
        <v>119</v>
      </c>
      <c r="I83" s="4" t="s">
        <v>119</v>
      </c>
      <c r="J83" s="4" t="s">
        <v>119</v>
      </c>
      <c r="K83" s="7"/>
      <c r="L83" s="7"/>
      <c r="M83" s="7"/>
      <c r="N83" s="7"/>
      <c r="O83" s="81" t="s">
        <v>119</v>
      </c>
      <c r="P83" s="4" t="s">
        <v>119</v>
      </c>
      <c r="Q83" s="4" t="s">
        <v>119</v>
      </c>
      <c r="R83" s="7"/>
      <c r="S83" s="7"/>
      <c r="T83" s="80"/>
      <c r="U83" s="6" t="s">
        <v>119</v>
      </c>
      <c r="V83" s="6" t="s">
        <v>119</v>
      </c>
      <c r="W83" s="90" t="str">
        <f>IF(ISERR(X83*$AC$1/375),"",(X83*$AC$1/375))</f>
        <v/>
      </c>
      <c r="X83" s="15" t="str">
        <f>IF(ISERR(((($AC$1)^2)*0.002558)*E83*$F$1),"",(((($AC$1)^2)*0.002558)*E83*$F$1))</f>
        <v/>
      </c>
      <c r="Y83" s="15"/>
      <c r="Z83" s="91"/>
      <c r="AA83" s="90" t="str">
        <f t="shared" si="80"/>
        <v/>
      </c>
      <c r="AB83" s="15" t="str">
        <f t="shared" si="80"/>
        <v/>
      </c>
      <c r="AC83" s="15" t="str">
        <f t="shared" si="80"/>
        <v/>
      </c>
      <c r="AD83" s="15" t="str">
        <f t="shared" si="80"/>
        <v/>
      </c>
      <c r="AE83" s="15"/>
      <c r="AF83" s="15"/>
      <c r="AG83" s="15"/>
      <c r="AH83" s="91"/>
      <c r="AI83" s="96" t="str">
        <f>IF(ISERR(AA83/X83),"",(AA83/X83))</f>
        <v/>
      </c>
      <c r="AJ83" s="97" t="str">
        <f>IF(ISERR(AB83/AA83),"",(AB83/AA83))</f>
        <v/>
      </c>
      <c r="AK83" s="139" t="str">
        <f>IF((ISERROR((Coeff!AB83+TestInfoPage!$B$6)/(Coeff!AA83+TestInfoPage!$B$5))),"",((Coeff!AB83+TestInfoPage!$B$6)/(Coeff!AA83+TestInfoPage!$B$5)))</f>
        <v/>
      </c>
      <c r="AL83" s="96"/>
      <c r="AM83" s="36"/>
      <c r="AN83" s="142"/>
      <c r="AO83" s="79" t="str">
        <f t="shared" si="65"/>
        <v/>
      </c>
      <c r="AP83" s="4" t="s">
        <v>119</v>
      </c>
      <c r="AQ83" s="4" t="s">
        <v>119</v>
      </c>
      <c r="AR83" s="4" t="s">
        <v>119</v>
      </c>
      <c r="AS83" s="4" t="s">
        <v>119</v>
      </c>
      <c r="AT83" s="7"/>
      <c r="AU83" s="7"/>
      <c r="AV83" s="7"/>
      <c r="AW83" s="80"/>
      <c r="AX83" s="81" t="s">
        <v>119</v>
      </c>
      <c r="AY83" s="4" t="s">
        <v>119</v>
      </c>
      <c r="AZ83" s="15"/>
      <c r="BA83" s="91"/>
      <c r="BB83" s="163" t="s">
        <v>119</v>
      </c>
      <c r="BC83" s="157" t="s">
        <v>119</v>
      </c>
      <c r="BD83" s="157" t="s">
        <v>119</v>
      </c>
      <c r="BE83" s="157" t="s">
        <v>119</v>
      </c>
      <c r="BF83" s="157" t="s">
        <v>119</v>
      </c>
      <c r="BG83" s="157" t="s">
        <v>119</v>
      </c>
      <c r="BH83" s="157" t="s">
        <v>119</v>
      </c>
      <c r="BI83" s="157" t="s">
        <v>119</v>
      </c>
      <c r="BJ83" s="157" t="s">
        <v>119</v>
      </c>
      <c r="BK83" s="157" t="s">
        <v>119</v>
      </c>
      <c r="BL83" s="157" t="s">
        <v>119</v>
      </c>
      <c r="BM83" s="157" t="s">
        <v>119</v>
      </c>
      <c r="BN83" s="157" t="s">
        <v>119</v>
      </c>
      <c r="BO83" s="157" t="s">
        <v>119</v>
      </c>
      <c r="BP83" s="157" t="s">
        <v>119</v>
      </c>
      <c r="BQ83" s="157" t="s">
        <v>119</v>
      </c>
      <c r="BR83" s="157" t="s">
        <v>119</v>
      </c>
      <c r="BS83" s="84" t="s">
        <v>119</v>
      </c>
      <c r="BT83" s="109"/>
      <c r="BU83" s="101"/>
      <c r="BV83" s="101"/>
      <c r="BW83" s="101"/>
      <c r="BX83" s="101"/>
      <c r="BY83" s="101"/>
      <c r="BZ83" s="101"/>
      <c r="CA83" s="101"/>
      <c r="CB83" s="101"/>
      <c r="CC83" s="101"/>
      <c r="CD83" s="101"/>
      <c r="CE83" s="101"/>
      <c r="CF83" s="101"/>
      <c r="CG83" s="101"/>
      <c r="CH83" s="101"/>
      <c r="CI83" s="101"/>
      <c r="CJ83" s="101"/>
      <c r="CK83" s="110"/>
      <c r="CL83" s="1"/>
    </row>
    <row r="84" spans="1:90" ht="14.25" thickBot="1" x14ac:dyDescent="0.3">
      <c r="A84" s="158">
        <v>0</v>
      </c>
      <c r="B84" s="9">
        <f>B79+1</f>
        <v>17</v>
      </c>
      <c r="C84" s="66" t="s">
        <v>56</v>
      </c>
      <c r="D84" s="75"/>
      <c r="E84" s="82" t="str">
        <f>IF(ISERR(AVERAGE(E85:E88)),"",AVERAGE(E85:E88))</f>
        <v/>
      </c>
      <c r="F84" s="78" t="str">
        <f>IF($D84="","",E84-VLOOKUP($D84,$B$4:$BS$990,4,FALSE))</f>
        <v/>
      </c>
      <c r="G84" s="44" t="str">
        <f t="shared" ref="G84:Q84" si="81">IF(ISERR(AVERAGE(G85:G88)),"",AVERAGE(G85:G88))</f>
        <v/>
      </c>
      <c r="H84" s="8" t="str">
        <f t="shared" si="81"/>
        <v/>
      </c>
      <c r="I84" s="8" t="str">
        <f t="shared" si="81"/>
        <v/>
      </c>
      <c r="J84" s="44" t="str">
        <f>IF(ISERR(AVERAGE(J85:J88)),"",AVERAGE(J85:J88))</f>
        <v/>
      </c>
      <c r="K84" s="56" t="str">
        <f>IF($D84="","",G84-VLOOKUP($D84,$B$4:$BS$990,6,FALSE))</f>
        <v/>
      </c>
      <c r="L84" s="56" t="str">
        <f>IF($D84="","",H84-VLOOKUP($D84,$B$4:$BS$990,7,FALSE))</f>
        <v/>
      </c>
      <c r="M84" s="56" t="str">
        <f>IF($D84="","",I84-VLOOKUP($D84,$B$4:$BS$990,8,FALSE))</f>
        <v/>
      </c>
      <c r="N84" s="74" t="str">
        <f>IF($D84="","",J84-VLOOKUP($D84,$B$4:$BS$990,9,FALSE))</f>
        <v/>
      </c>
      <c r="O84" s="82" t="str">
        <f t="shared" si="81"/>
        <v/>
      </c>
      <c r="P84" s="8" t="str">
        <f t="shared" si="81"/>
        <v/>
      </c>
      <c r="Q84" s="8" t="str">
        <f t="shared" si="81"/>
        <v/>
      </c>
      <c r="R84" s="56" t="str">
        <f>IF($D84="","",O84-VLOOKUP($D84,$B$4:$BS$990,14,FALSE))</f>
        <v/>
      </c>
      <c r="S84" s="56" t="str">
        <f>IF($D84="","",P84-VLOOKUP($D84,$B$4:$BS$990,15,FALSE))</f>
        <v/>
      </c>
      <c r="T84" s="78" t="str">
        <f>IF($D84="","",Q84-VLOOKUP($D84,$B$4:$BS$990,16,FALSE))</f>
        <v/>
      </c>
      <c r="U84" s="44" t="str">
        <f t="shared" ref="U84:AS84" si="82">IF(ISERR(AVERAGE(U85:U88)),"",AVERAGE(U85:U88))</f>
        <v/>
      </c>
      <c r="V84" s="11" t="str">
        <f t="shared" si="82"/>
        <v/>
      </c>
      <c r="W84" s="88" t="str">
        <f t="shared" si="82"/>
        <v/>
      </c>
      <c r="X84" s="32" t="str">
        <f t="shared" si="82"/>
        <v/>
      </c>
      <c r="Y84" s="71" t="str">
        <f>IF($D84="","",W84-VLOOKUP($D84,$B$4:$BS$990,22,FALSE))</f>
        <v/>
      </c>
      <c r="Z84" s="89" t="str">
        <f>IF($D84="","",X84-VLOOKUP($D84,$B$4:$BS$990,23,FALSE))</f>
        <v/>
      </c>
      <c r="AA84" s="88" t="str">
        <f t="shared" si="82"/>
        <v/>
      </c>
      <c r="AB84" s="31" t="str">
        <f t="shared" si="82"/>
        <v/>
      </c>
      <c r="AC84" s="31" t="str">
        <f t="shared" si="82"/>
        <v/>
      </c>
      <c r="AD84" s="32" t="str">
        <f>IF(ISERR(AVERAGE(AD85:AD88)),"",AVERAGE(AD85:AD88))</f>
        <v/>
      </c>
      <c r="AE84" s="71" t="str">
        <f>IF($D84="","",AA84-VLOOKUP($D84,$B$4:$BS$990,26,FALSE))</f>
        <v/>
      </c>
      <c r="AF84" s="71" t="str">
        <f>IF($D84="","",AB84-VLOOKUP($D84,$B$4:$BS$990,27,FALSE))</f>
        <v/>
      </c>
      <c r="AG84" s="92" t="str">
        <f>IF($D84="","",AC84-VLOOKUP($D84,$B$4:$BS$990,28,FALSE))</f>
        <v/>
      </c>
      <c r="AH84" s="89" t="str">
        <f>IF($D84="","",AD84-VLOOKUP($D84,$B$4:$BS$990,29,FALSE))</f>
        <v/>
      </c>
      <c r="AI84" s="95" t="str">
        <f t="shared" si="82"/>
        <v/>
      </c>
      <c r="AJ84" s="35" t="str">
        <f t="shared" si="82"/>
        <v/>
      </c>
      <c r="AK84" s="138" t="str">
        <f>IF((ISERROR((Coeff!AB84+TestInfoPage!$B$6)/(Coeff!AA84+TestInfoPage!$B$5))),"",((Coeff!AB84+TestInfoPage!$B$6)/(Coeff!AA84+TestInfoPage!$B$5)))</f>
        <v/>
      </c>
      <c r="AL84" s="135" t="str">
        <f>IF($D84="","",AI84-VLOOKUP($D84,$B$4:$BS$990,34,FALSE))</f>
        <v/>
      </c>
      <c r="AM84" s="72" t="str">
        <f>IF($D84="","",AJ84-VLOOKUP($D84,$B$4:$BS$990,35,FALSE))</f>
        <v/>
      </c>
      <c r="AN84" s="115" t="str">
        <f>IF($D84="","",AK84-VLOOKUP($D84,$B$4:$BS$990,36,FALSE))</f>
        <v/>
      </c>
      <c r="AO84" s="134" t="str">
        <f t="shared" si="65"/>
        <v/>
      </c>
      <c r="AP84" s="44" t="str">
        <f t="shared" si="82"/>
        <v/>
      </c>
      <c r="AQ84" s="8" t="str">
        <f t="shared" si="82"/>
        <v/>
      </c>
      <c r="AR84" s="11" t="str">
        <f t="shared" si="82"/>
        <v/>
      </c>
      <c r="AS84" s="11" t="str">
        <f t="shared" si="82"/>
        <v/>
      </c>
      <c r="AT84" s="56" t="str">
        <f>IF(ISERR(AP84-VLOOKUP($D84,$B$4:$BS$990,41,FALSE)),"",(AP84-VLOOKUP($D84,$B$4:$BS$990,41,FALSE)))</f>
        <v/>
      </c>
      <c r="AU84" s="56" t="str">
        <f>IF(ISERR(AQ84-VLOOKUP($D84,$B$4:$BS$990,42,FALSE)),"",(AQ84-VLOOKUP($D84,$B$4:$BS$990,42,FALSE)))</f>
        <v/>
      </c>
      <c r="AV84" s="74" t="str">
        <f>IF(ISERR(AR84-VLOOKUP($D84,$B$4:$BS$990,43,FALSE)),"",AR84-VLOOKUP($D84,$B$4:$BS$990,43,FALSE))</f>
        <v/>
      </c>
      <c r="AW84" s="74" t="str">
        <f>IF(ISERR(AS84-VLOOKUP($D84,$B$4:$BS$990,44,FALSE)),"",AS84-VLOOKUP($D84,$B$4:$BS$990,44,FALSE))</f>
        <v/>
      </c>
      <c r="AX84" s="82" t="str">
        <f t="shared" ref="AX84:AY84" si="83">IF(ISERR(AVERAGE(AX85:AX88)),"",AVERAGE(AX85:AX88))</f>
        <v/>
      </c>
      <c r="AY84" s="11" t="str">
        <f t="shared" si="83"/>
        <v/>
      </c>
      <c r="AZ84" s="89" t="str">
        <f>IF(ISERR(AX84-VLOOKUP($D84,$B$4:$BS$990,49,FALSE)),"",(AX84-VLOOKUP($D84,$B$4:$BS$990,49,FALSE)))</f>
        <v/>
      </c>
      <c r="BA84" s="89" t="str">
        <f>IF(ISERR(AY84-VLOOKUP($D84,$B$4:$BS$990,50,FALSE)),"",(AY84-VLOOKUP($D84,$B$4:$BS$990,50,FALSE)))</f>
        <v/>
      </c>
      <c r="BB84" s="82" t="str">
        <f t="shared" ref="BB84:BS84" si="84">IF(ISERR(AVERAGE(BB85:BB88)),"",AVERAGE(BB85:BB88))</f>
        <v/>
      </c>
      <c r="BC84" s="8" t="str">
        <f t="shared" si="84"/>
        <v/>
      </c>
      <c r="BD84" s="8" t="str">
        <f t="shared" si="84"/>
        <v/>
      </c>
      <c r="BE84" s="8" t="str">
        <f t="shared" si="84"/>
        <v/>
      </c>
      <c r="BF84" s="8" t="str">
        <f t="shared" si="84"/>
        <v/>
      </c>
      <c r="BG84" s="8" t="str">
        <f t="shared" si="84"/>
        <v/>
      </c>
      <c r="BH84" s="8" t="str">
        <f t="shared" si="84"/>
        <v/>
      </c>
      <c r="BI84" s="8" t="str">
        <f t="shared" si="84"/>
        <v/>
      </c>
      <c r="BJ84" s="8" t="str">
        <f t="shared" si="84"/>
        <v/>
      </c>
      <c r="BK84" s="8" t="str">
        <f t="shared" si="84"/>
        <v/>
      </c>
      <c r="BL84" s="8" t="str">
        <f t="shared" si="84"/>
        <v/>
      </c>
      <c r="BM84" s="8" t="str">
        <f t="shared" si="84"/>
        <v/>
      </c>
      <c r="BN84" s="8" t="str">
        <f t="shared" si="84"/>
        <v/>
      </c>
      <c r="BO84" s="8" t="str">
        <f t="shared" si="84"/>
        <v/>
      </c>
      <c r="BP84" s="8" t="str">
        <f t="shared" si="84"/>
        <v/>
      </c>
      <c r="BQ84" s="8" t="str">
        <f t="shared" si="84"/>
        <v/>
      </c>
      <c r="BR84" s="8" t="str">
        <f t="shared" si="84"/>
        <v/>
      </c>
      <c r="BS84" s="103" t="str">
        <f t="shared" si="84"/>
        <v/>
      </c>
      <c r="BT84" s="106" t="str">
        <f>IF($D84="","",BB84-VLOOKUP($D84,$B$4:$BS$990,53,FALSE))</f>
        <v/>
      </c>
      <c r="BU84" s="56" t="str">
        <f>IF($D84="","",BC84-VLOOKUP($D84,$B$4:$BS$990,54,FALSE))</f>
        <v/>
      </c>
      <c r="BV84" s="56" t="str">
        <f>IF($D84="","",BD84-VLOOKUP($D84,$B$4:$BS$990,55,FALSE))</f>
        <v/>
      </c>
      <c r="BW84" s="56" t="str">
        <f>IF($D84="","",BE84-VLOOKUP($D84,$B$4:$BS$990,56,FALSE))</f>
        <v/>
      </c>
      <c r="BX84" s="56" t="str">
        <f>IF($D84="","",BF84-VLOOKUP($D84,$B$4:$BS$990,57,FALSE))</f>
        <v/>
      </c>
      <c r="BY84" s="56" t="str">
        <f>IF($D84="","",BG84-VLOOKUP($D84,$B$4:$BS$990,58,FALSE))</f>
        <v/>
      </c>
      <c r="BZ84" s="56" t="str">
        <f>IF($D84="","",BH84-VLOOKUP($D84,$B$4:$BS$990,59,FALSE))</f>
        <v/>
      </c>
      <c r="CA84" s="56" t="str">
        <f>IF($D84="","",BI84-VLOOKUP($D84,$B$4:$BS$990,60,FALSE))</f>
        <v/>
      </c>
      <c r="CB84" s="56" t="str">
        <f>IF($D84="","",BJ84-VLOOKUP($D84,$B$4:$BS$990,61,FALSE))</f>
        <v/>
      </c>
      <c r="CC84" s="56" t="str">
        <f>IF($D84="","",BK84-VLOOKUP($D84,$B$4:$BS$990,62,FALSE))</f>
        <v/>
      </c>
      <c r="CD84" s="56" t="str">
        <f>IF($D84="","",BL84-VLOOKUP($D84,$B$4:$BS$990,63,FALSE))</f>
        <v/>
      </c>
      <c r="CE84" s="56" t="str">
        <f>IF($D84="","",BM84-VLOOKUP($D84,$B$4:$BS$990,64,FALSE))</f>
        <v/>
      </c>
      <c r="CF84" s="56" t="str">
        <f>IF($D84="","",BN84-VLOOKUP($D84,$B$4:$BS$990,65,FALSE))</f>
        <v/>
      </c>
      <c r="CG84" s="56" t="str">
        <f>IF($D84="","",BO84-VLOOKUP($D84,$B$4:$BS$990,66,FALSE))</f>
        <v/>
      </c>
      <c r="CH84" s="56" t="str">
        <f>IF($D84="","",BP84-VLOOKUP($D84,$B$4:$BS$990,67,FALSE))</f>
        <v/>
      </c>
      <c r="CI84" s="56" t="str">
        <f>IF($D84="","",BQ84-VLOOKUP($D84,$B$4:$BS$990,68,FALSE))</f>
        <v/>
      </c>
      <c r="CJ84" s="56" t="str">
        <f>IF($D84="","",BR84-VLOOKUP($D84,$B$4:$BS$990,69,FALSE))</f>
        <v/>
      </c>
      <c r="CK84" s="78" t="str">
        <f>IF($D84="","",BS84-VLOOKUP($D84,$B$4:$BS$990,70,FALSE))</f>
        <v/>
      </c>
      <c r="CL84" s="1"/>
    </row>
    <row r="85" spans="1:90" x14ac:dyDescent="0.25">
      <c r="A85" s="158">
        <v>0</v>
      </c>
      <c r="B85" s="10"/>
      <c r="C85" s="10">
        <v>1</v>
      </c>
      <c r="D85" s="76"/>
      <c r="E85" s="79" t="s">
        <v>119</v>
      </c>
      <c r="F85" s="80"/>
      <c r="G85" s="7" t="s">
        <v>119</v>
      </c>
      <c r="H85" s="7" t="s">
        <v>119</v>
      </c>
      <c r="I85" s="7" t="s">
        <v>119</v>
      </c>
      <c r="J85" s="7" t="s">
        <v>119</v>
      </c>
      <c r="K85" s="7"/>
      <c r="L85" s="7"/>
      <c r="M85" s="7"/>
      <c r="N85" s="7"/>
      <c r="O85" s="79" t="s">
        <v>119</v>
      </c>
      <c r="P85" s="7" t="s">
        <v>119</v>
      </c>
      <c r="Q85" s="7" t="s">
        <v>119</v>
      </c>
      <c r="R85" s="7"/>
      <c r="S85" s="7"/>
      <c r="T85" s="80"/>
      <c r="U85" s="6" t="s">
        <v>119</v>
      </c>
      <c r="V85" s="6" t="s">
        <v>119</v>
      </c>
      <c r="W85" s="90" t="str">
        <f>IF(ISERR(X85*$AC$1/375),"",(X85*$AC$1/375))</f>
        <v/>
      </c>
      <c r="X85" s="15" t="str">
        <f>IF(ISERR(((($AC$1)^2)*0.002558)*E85*$F$1),"",(((($AC$1)^2)*0.002558)*E85*$F$1))</f>
        <v/>
      </c>
      <c r="Y85" s="15"/>
      <c r="Z85" s="91"/>
      <c r="AA85" s="90" t="str">
        <f t="shared" ref="AA85:AD88" si="85">IF(ISERR(((($AC$1)^2)*0.002558)*G85*$F$1),"",(((($AC$1)^2)*0.002558)*G85*$F$1))</f>
        <v/>
      </c>
      <c r="AB85" s="15" t="str">
        <f t="shared" si="85"/>
        <v/>
      </c>
      <c r="AC85" s="15" t="str">
        <f t="shared" si="85"/>
        <v/>
      </c>
      <c r="AD85" s="15" t="str">
        <f t="shared" si="85"/>
        <v/>
      </c>
      <c r="AE85" s="132"/>
      <c r="AF85" s="132"/>
      <c r="AG85" s="132"/>
      <c r="AH85" s="133"/>
      <c r="AI85" s="96" t="str">
        <f>IF(ISERR(AA85/X85),"",(AA85/X85))</f>
        <v/>
      </c>
      <c r="AJ85" s="36" t="str">
        <f>IF(ISERR(AB85/AA85),"",(AB85/AA85))</f>
        <v/>
      </c>
      <c r="AK85" s="139" t="str">
        <f>IF((ISERROR((Coeff!AB85+TestInfoPage!$B$6)/(Coeff!AA85+TestInfoPage!$B$5))),"",((Coeff!AB85+TestInfoPage!$B$6)/(Coeff!AA85+TestInfoPage!$B$5)))</f>
        <v/>
      </c>
      <c r="AL85" s="96"/>
      <c r="AM85" s="36"/>
      <c r="AN85" s="142"/>
      <c r="AO85" s="79" t="str">
        <f t="shared" si="65"/>
        <v/>
      </c>
      <c r="AP85" s="4" t="s">
        <v>119</v>
      </c>
      <c r="AQ85" s="4" t="s">
        <v>119</v>
      </c>
      <c r="AR85" s="4" t="s">
        <v>119</v>
      </c>
      <c r="AS85" s="4" t="s">
        <v>119</v>
      </c>
      <c r="AT85" s="128"/>
      <c r="AU85" s="128"/>
      <c r="AV85" s="128"/>
      <c r="AW85" s="129"/>
      <c r="AX85" s="81" t="s">
        <v>119</v>
      </c>
      <c r="AY85" s="4" t="s">
        <v>119</v>
      </c>
      <c r="AZ85" s="15"/>
      <c r="BA85" s="91"/>
      <c r="BB85" s="162" t="s">
        <v>119</v>
      </c>
      <c r="BC85" s="128" t="s">
        <v>119</v>
      </c>
      <c r="BD85" s="128" t="s">
        <v>119</v>
      </c>
      <c r="BE85" s="128" t="s">
        <v>119</v>
      </c>
      <c r="BF85" s="128" t="s">
        <v>119</v>
      </c>
      <c r="BG85" s="128" t="s">
        <v>119</v>
      </c>
      <c r="BH85" s="128" t="s">
        <v>119</v>
      </c>
      <c r="BI85" s="128" t="s">
        <v>119</v>
      </c>
      <c r="BJ85" s="128" t="s">
        <v>119</v>
      </c>
      <c r="BK85" s="128" t="s">
        <v>119</v>
      </c>
      <c r="BL85" s="128" t="s">
        <v>119</v>
      </c>
      <c r="BM85" s="128" t="s">
        <v>119</v>
      </c>
      <c r="BN85" s="128" t="s">
        <v>119</v>
      </c>
      <c r="BO85" s="128" t="s">
        <v>119</v>
      </c>
      <c r="BP85" s="128" t="s">
        <v>119</v>
      </c>
      <c r="BQ85" s="128" t="s">
        <v>119</v>
      </c>
      <c r="BR85" s="128" t="s">
        <v>119</v>
      </c>
      <c r="BS85" s="129" t="s">
        <v>119</v>
      </c>
      <c r="BT85" s="107"/>
      <c r="BU85" s="100"/>
      <c r="BV85" s="100"/>
      <c r="BW85" s="100"/>
      <c r="BX85" s="100"/>
      <c r="BY85" s="100"/>
      <c r="BZ85" s="100"/>
      <c r="CA85" s="100"/>
      <c r="CB85" s="100"/>
      <c r="CC85" s="100"/>
      <c r="CD85" s="100"/>
      <c r="CE85" s="100"/>
      <c r="CF85" s="100"/>
      <c r="CG85" s="100"/>
      <c r="CH85" s="100"/>
      <c r="CI85" s="100"/>
      <c r="CJ85" s="100"/>
      <c r="CK85" s="108"/>
      <c r="CL85" s="1"/>
    </row>
    <row r="86" spans="1:90" x14ac:dyDescent="0.25">
      <c r="A86" s="158">
        <v>0</v>
      </c>
      <c r="B86" s="10"/>
      <c r="C86" s="10">
        <v>2</v>
      </c>
      <c r="D86" s="76"/>
      <c r="E86" s="81" t="s">
        <v>119</v>
      </c>
      <c r="F86" s="80"/>
      <c r="G86" s="4" t="s">
        <v>119</v>
      </c>
      <c r="H86" s="4" t="s">
        <v>119</v>
      </c>
      <c r="I86" s="4" t="s">
        <v>119</v>
      </c>
      <c r="J86" s="4" t="s">
        <v>119</v>
      </c>
      <c r="K86" s="7"/>
      <c r="L86" s="7"/>
      <c r="M86" s="7"/>
      <c r="N86" s="7"/>
      <c r="O86" s="81" t="s">
        <v>119</v>
      </c>
      <c r="P86" s="4" t="s">
        <v>119</v>
      </c>
      <c r="Q86" s="4" t="s">
        <v>119</v>
      </c>
      <c r="R86" s="7"/>
      <c r="S86" s="7"/>
      <c r="T86" s="80"/>
      <c r="U86" s="6" t="s">
        <v>119</v>
      </c>
      <c r="V86" s="6" t="s">
        <v>119</v>
      </c>
      <c r="W86" s="90" t="str">
        <f>IF(ISERR(X86*$AC$1/375),"",(X86*$AC$1/375))</f>
        <v/>
      </c>
      <c r="X86" s="15" t="str">
        <f>IF(ISERR(((($AC$1)^2)*0.002558)*E86*$F$1),"",(((($AC$1)^2)*0.002558)*E86*$F$1))</f>
        <v/>
      </c>
      <c r="Y86" s="15"/>
      <c r="Z86" s="91"/>
      <c r="AA86" s="90" t="str">
        <f t="shared" si="85"/>
        <v/>
      </c>
      <c r="AB86" s="15" t="str">
        <f t="shared" si="85"/>
        <v/>
      </c>
      <c r="AC86" s="15" t="str">
        <f t="shared" si="85"/>
        <v/>
      </c>
      <c r="AD86" s="15" t="str">
        <f t="shared" si="85"/>
        <v/>
      </c>
      <c r="AE86" s="15"/>
      <c r="AF86" s="15"/>
      <c r="AG86" s="15"/>
      <c r="AH86" s="91"/>
      <c r="AI86" s="96" t="str">
        <f>IF(ISERR(AA86/X86),"",(AA86/X86))</f>
        <v/>
      </c>
      <c r="AJ86" s="97" t="str">
        <f>IF(ISERR(AB86/AA86),"",(AB86/AA86))</f>
        <v/>
      </c>
      <c r="AK86" s="139" t="str">
        <f>IF((ISERROR((Coeff!AB86+TestInfoPage!$B$6)/(Coeff!AA86+TestInfoPage!$B$5))),"",((Coeff!AB86+TestInfoPage!$B$6)/(Coeff!AA86+TestInfoPage!$B$5)))</f>
        <v/>
      </c>
      <c r="AL86" s="96"/>
      <c r="AM86" s="36"/>
      <c r="AN86" s="142"/>
      <c r="AO86" s="79" t="str">
        <f t="shared" si="65"/>
        <v/>
      </c>
      <c r="AP86" s="4" t="s">
        <v>119</v>
      </c>
      <c r="AQ86" s="4" t="s">
        <v>119</v>
      </c>
      <c r="AR86" s="4" t="s">
        <v>119</v>
      </c>
      <c r="AS86" s="4" t="s">
        <v>119</v>
      </c>
      <c r="AT86" s="7"/>
      <c r="AU86" s="7"/>
      <c r="AV86" s="7"/>
      <c r="AW86" s="80"/>
      <c r="AX86" s="81" t="s">
        <v>119</v>
      </c>
      <c r="AY86" s="4" t="s">
        <v>119</v>
      </c>
      <c r="AZ86" s="15"/>
      <c r="BA86" s="91"/>
      <c r="BB86" s="79" t="s">
        <v>119</v>
      </c>
      <c r="BC86" s="7" t="s">
        <v>119</v>
      </c>
      <c r="BD86" s="7" t="s">
        <v>119</v>
      </c>
      <c r="BE86" s="7" t="s">
        <v>119</v>
      </c>
      <c r="BF86" s="7" t="s">
        <v>119</v>
      </c>
      <c r="BG86" s="7" t="s">
        <v>119</v>
      </c>
      <c r="BH86" s="7" t="s">
        <v>119</v>
      </c>
      <c r="BI86" s="7" t="s">
        <v>119</v>
      </c>
      <c r="BJ86" s="7" t="s">
        <v>119</v>
      </c>
      <c r="BK86" s="7" t="s">
        <v>119</v>
      </c>
      <c r="BL86" s="7" t="s">
        <v>119</v>
      </c>
      <c r="BM86" s="7" t="s">
        <v>119</v>
      </c>
      <c r="BN86" s="7" t="s">
        <v>119</v>
      </c>
      <c r="BO86" s="7" t="s">
        <v>119</v>
      </c>
      <c r="BP86" s="7" t="s">
        <v>119</v>
      </c>
      <c r="BQ86" s="7" t="s">
        <v>119</v>
      </c>
      <c r="BR86" s="7" t="s">
        <v>119</v>
      </c>
      <c r="BS86" s="80" t="s">
        <v>119</v>
      </c>
      <c r="BT86" s="107"/>
      <c r="BU86" s="100"/>
      <c r="BV86" s="100"/>
      <c r="BW86" s="100"/>
      <c r="BX86" s="100"/>
      <c r="BY86" s="100"/>
      <c r="BZ86" s="100"/>
      <c r="CA86" s="100"/>
      <c r="CB86" s="100"/>
      <c r="CC86" s="100"/>
      <c r="CD86" s="100"/>
      <c r="CE86" s="100"/>
      <c r="CF86" s="100"/>
      <c r="CG86" s="100"/>
      <c r="CH86" s="100"/>
      <c r="CI86" s="100"/>
      <c r="CJ86" s="100"/>
      <c r="CK86" s="108"/>
      <c r="CL86" s="1"/>
    </row>
    <row r="87" spans="1:90" ht="13.5" customHeight="1" x14ac:dyDescent="0.25">
      <c r="A87" s="158">
        <v>0</v>
      </c>
      <c r="B87" s="10"/>
      <c r="C87" s="10">
        <v>3</v>
      </c>
      <c r="D87" s="76"/>
      <c r="E87" s="81" t="s">
        <v>119</v>
      </c>
      <c r="F87" s="80"/>
      <c r="G87" s="4" t="s">
        <v>119</v>
      </c>
      <c r="H87" s="4" t="s">
        <v>119</v>
      </c>
      <c r="I87" s="4" t="s">
        <v>119</v>
      </c>
      <c r="J87" s="4" t="s">
        <v>119</v>
      </c>
      <c r="K87" s="7"/>
      <c r="L87" s="7"/>
      <c r="M87" s="7"/>
      <c r="N87" s="7"/>
      <c r="O87" s="81" t="s">
        <v>119</v>
      </c>
      <c r="P87" s="4" t="s">
        <v>119</v>
      </c>
      <c r="Q87" s="4" t="s">
        <v>119</v>
      </c>
      <c r="R87" s="7"/>
      <c r="S87" s="7"/>
      <c r="T87" s="80"/>
      <c r="U87" s="6" t="s">
        <v>119</v>
      </c>
      <c r="V87" s="6" t="s">
        <v>119</v>
      </c>
      <c r="W87" s="90" t="str">
        <f>IF(ISERR(X87*$AC$1/375),"",(X87*$AC$1/375))</f>
        <v/>
      </c>
      <c r="X87" s="15" t="str">
        <f>IF(ISERR(((($AC$1)^2)*0.002558)*E87*$F$1),"",(((($AC$1)^2)*0.002558)*E87*$F$1))</f>
        <v/>
      </c>
      <c r="Y87" s="15"/>
      <c r="Z87" s="91"/>
      <c r="AA87" s="90" t="str">
        <f t="shared" si="85"/>
        <v/>
      </c>
      <c r="AB87" s="15" t="str">
        <f t="shared" si="85"/>
        <v/>
      </c>
      <c r="AC87" s="15" t="str">
        <f t="shared" si="85"/>
        <v/>
      </c>
      <c r="AD87" s="15" t="str">
        <f t="shared" si="85"/>
        <v/>
      </c>
      <c r="AE87" s="15"/>
      <c r="AF87" s="15"/>
      <c r="AG87" s="15"/>
      <c r="AH87" s="91"/>
      <c r="AI87" s="96" t="str">
        <f>IF(ISERR(AA87/X87),"",(AA87/X87))</f>
        <v/>
      </c>
      <c r="AJ87" s="97" t="str">
        <f>IF(ISERR(AB87/AA87),"",(AB87/AA87))</f>
        <v/>
      </c>
      <c r="AK87" s="139" t="str">
        <f>IF((ISERROR((Coeff!AB87+TestInfoPage!$B$6)/(Coeff!AA87+TestInfoPage!$B$5))),"",((Coeff!AB87+TestInfoPage!$B$6)/(Coeff!AA87+TestInfoPage!$B$5)))</f>
        <v/>
      </c>
      <c r="AL87" s="96"/>
      <c r="AM87" s="36"/>
      <c r="AN87" s="142"/>
      <c r="AO87" s="79" t="str">
        <f t="shared" si="65"/>
        <v/>
      </c>
      <c r="AP87" s="4" t="s">
        <v>119</v>
      </c>
      <c r="AQ87" s="4" t="s">
        <v>119</v>
      </c>
      <c r="AR87" s="4" t="s">
        <v>119</v>
      </c>
      <c r="AS87" s="4" t="s">
        <v>119</v>
      </c>
      <c r="AT87" s="7"/>
      <c r="AU87" s="7"/>
      <c r="AV87" s="7"/>
      <c r="AW87" s="80"/>
      <c r="AX87" s="81" t="s">
        <v>119</v>
      </c>
      <c r="AY87" s="4" t="s">
        <v>119</v>
      </c>
      <c r="AZ87" s="15"/>
      <c r="BA87" s="91"/>
      <c r="BB87" s="79" t="s">
        <v>119</v>
      </c>
      <c r="BC87" s="7" t="s">
        <v>119</v>
      </c>
      <c r="BD87" s="7" t="s">
        <v>119</v>
      </c>
      <c r="BE87" s="7" t="s">
        <v>119</v>
      </c>
      <c r="BF87" s="7" t="s">
        <v>119</v>
      </c>
      <c r="BG87" s="7" t="s">
        <v>119</v>
      </c>
      <c r="BH87" s="7" t="s">
        <v>119</v>
      </c>
      <c r="BI87" s="7" t="s">
        <v>119</v>
      </c>
      <c r="BJ87" s="7" t="s">
        <v>119</v>
      </c>
      <c r="BK87" s="7" t="s">
        <v>119</v>
      </c>
      <c r="BL87" s="7" t="s">
        <v>119</v>
      </c>
      <c r="BM87" s="7" t="s">
        <v>119</v>
      </c>
      <c r="BN87" s="7" t="s">
        <v>119</v>
      </c>
      <c r="BO87" s="7" t="s">
        <v>119</v>
      </c>
      <c r="BP87" s="7" t="s">
        <v>119</v>
      </c>
      <c r="BQ87" s="7" t="s">
        <v>119</v>
      </c>
      <c r="BR87" s="7" t="s">
        <v>119</v>
      </c>
      <c r="BS87" s="80" t="s">
        <v>119</v>
      </c>
      <c r="BT87" s="107"/>
      <c r="BU87" s="100"/>
      <c r="BV87" s="100"/>
      <c r="BW87" s="100"/>
      <c r="BX87" s="100"/>
      <c r="BY87" s="100"/>
      <c r="BZ87" s="100"/>
      <c r="CA87" s="100"/>
      <c r="CB87" s="100"/>
      <c r="CC87" s="100"/>
      <c r="CD87" s="100"/>
      <c r="CE87" s="100"/>
      <c r="CF87" s="100"/>
      <c r="CG87" s="100"/>
      <c r="CH87" s="100"/>
      <c r="CI87" s="100"/>
      <c r="CJ87" s="100"/>
      <c r="CK87" s="108"/>
      <c r="CL87" s="1"/>
    </row>
    <row r="88" spans="1:90" ht="13.5" customHeight="1" thickBot="1" x14ac:dyDescent="0.3">
      <c r="A88" s="158">
        <v>0</v>
      </c>
      <c r="B88" s="10"/>
      <c r="C88" s="10">
        <v>4</v>
      </c>
      <c r="D88" s="76"/>
      <c r="E88" s="81" t="s">
        <v>119</v>
      </c>
      <c r="F88" s="80"/>
      <c r="G88" s="4" t="s">
        <v>119</v>
      </c>
      <c r="H88" s="4" t="s">
        <v>119</v>
      </c>
      <c r="I88" s="4" t="s">
        <v>119</v>
      </c>
      <c r="J88" s="4" t="s">
        <v>119</v>
      </c>
      <c r="K88" s="7"/>
      <c r="L88" s="7"/>
      <c r="M88" s="7"/>
      <c r="N88" s="7"/>
      <c r="O88" s="81" t="s">
        <v>119</v>
      </c>
      <c r="P88" s="4" t="s">
        <v>119</v>
      </c>
      <c r="Q88" s="4" t="s">
        <v>119</v>
      </c>
      <c r="R88" s="7"/>
      <c r="S88" s="7"/>
      <c r="T88" s="84"/>
      <c r="U88" s="6" t="s">
        <v>119</v>
      </c>
      <c r="V88" s="6" t="s">
        <v>119</v>
      </c>
      <c r="W88" s="90" t="str">
        <f>IF(ISERR(X88*$AC$1/375),"",(X88*$AC$1/375))</f>
        <v/>
      </c>
      <c r="X88" s="15" t="str">
        <f>IF(ISERR(((($AC$1)^2)*0.002558)*E88*$F$1),"",(((($AC$1)^2)*0.002558)*E88*$F$1))</f>
        <v/>
      </c>
      <c r="Y88" s="15"/>
      <c r="Z88" s="91"/>
      <c r="AA88" s="90" t="str">
        <f t="shared" si="85"/>
        <v/>
      </c>
      <c r="AB88" s="15" t="str">
        <f t="shared" si="85"/>
        <v/>
      </c>
      <c r="AC88" s="15" t="str">
        <f t="shared" si="85"/>
        <v/>
      </c>
      <c r="AD88" s="15" t="str">
        <f t="shared" si="85"/>
        <v/>
      </c>
      <c r="AE88" s="15"/>
      <c r="AF88" s="15"/>
      <c r="AG88" s="15"/>
      <c r="AH88" s="91"/>
      <c r="AI88" s="96" t="str">
        <f>IF(ISERR(AA88/X88),"",(AA88/X88))</f>
        <v/>
      </c>
      <c r="AJ88" s="97" t="str">
        <f>IF(ISERR(AB88/AA88),"",(AB88/AA88))</f>
        <v/>
      </c>
      <c r="AK88" s="139" t="str">
        <f>IF((ISERROR((Coeff!AB88+TestInfoPage!$B$6)/(Coeff!AA88+TestInfoPage!$B$5))),"",((Coeff!AB88+TestInfoPage!$B$6)/(Coeff!AA88+TestInfoPage!$B$5)))</f>
        <v/>
      </c>
      <c r="AL88" s="96"/>
      <c r="AM88" s="36"/>
      <c r="AN88" s="142"/>
      <c r="AO88" s="79" t="str">
        <f t="shared" si="65"/>
        <v/>
      </c>
      <c r="AP88" s="4" t="s">
        <v>119</v>
      </c>
      <c r="AQ88" s="4" t="s">
        <v>119</v>
      </c>
      <c r="AR88" s="4" t="s">
        <v>119</v>
      </c>
      <c r="AS88" s="4" t="s">
        <v>119</v>
      </c>
      <c r="AT88" s="7"/>
      <c r="AU88" s="7"/>
      <c r="AV88" s="7"/>
      <c r="AW88" s="80"/>
      <c r="AX88" s="81" t="s">
        <v>119</v>
      </c>
      <c r="AY88" s="4" t="s">
        <v>119</v>
      </c>
      <c r="AZ88" s="15"/>
      <c r="BA88" s="91"/>
      <c r="BB88" s="163" t="s">
        <v>119</v>
      </c>
      <c r="BC88" s="157" t="s">
        <v>119</v>
      </c>
      <c r="BD88" s="157" t="s">
        <v>119</v>
      </c>
      <c r="BE88" s="157" t="s">
        <v>119</v>
      </c>
      <c r="BF88" s="157" t="s">
        <v>119</v>
      </c>
      <c r="BG88" s="157" t="s">
        <v>119</v>
      </c>
      <c r="BH88" s="157" t="s">
        <v>119</v>
      </c>
      <c r="BI88" s="157" t="s">
        <v>119</v>
      </c>
      <c r="BJ88" s="157" t="s">
        <v>119</v>
      </c>
      <c r="BK88" s="157" t="s">
        <v>119</v>
      </c>
      <c r="BL88" s="157" t="s">
        <v>119</v>
      </c>
      <c r="BM88" s="157" t="s">
        <v>119</v>
      </c>
      <c r="BN88" s="157" t="s">
        <v>119</v>
      </c>
      <c r="BO88" s="157" t="s">
        <v>119</v>
      </c>
      <c r="BP88" s="157" t="s">
        <v>119</v>
      </c>
      <c r="BQ88" s="157" t="s">
        <v>119</v>
      </c>
      <c r="BR88" s="157" t="s">
        <v>119</v>
      </c>
      <c r="BS88" s="84" t="s">
        <v>119</v>
      </c>
      <c r="BT88" s="107"/>
      <c r="BU88" s="100"/>
      <c r="BV88" s="100"/>
      <c r="BW88" s="100"/>
      <c r="BX88" s="100"/>
      <c r="BY88" s="100"/>
      <c r="BZ88" s="100"/>
      <c r="CA88" s="100"/>
      <c r="CB88" s="100"/>
      <c r="CC88" s="100"/>
      <c r="CD88" s="100"/>
      <c r="CE88" s="100"/>
      <c r="CF88" s="100"/>
      <c r="CG88" s="100"/>
      <c r="CH88" s="100"/>
      <c r="CI88" s="100"/>
      <c r="CJ88" s="100"/>
      <c r="CK88" s="108"/>
      <c r="CL88" s="1"/>
    </row>
    <row r="89" spans="1:90" ht="14.25" thickBot="1" x14ac:dyDescent="0.3">
      <c r="A89" s="158">
        <v>0</v>
      </c>
      <c r="B89" s="9">
        <f>B84+1</f>
        <v>18</v>
      </c>
      <c r="C89" s="66" t="s">
        <v>56</v>
      </c>
      <c r="D89" s="75"/>
      <c r="E89" s="82" t="str">
        <f>IF(ISERR(AVERAGE(E90:E93)),"",AVERAGE(E90:E93))</f>
        <v/>
      </c>
      <c r="F89" s="78" t="str">
        <f>IF($D89="","",E89-VLOOKUP($D89,$B$4:$BS$990,4,FALSE))</f>
        <v/>
      </c>
      <c r="G89" s="44" t="str">
        <f t="shared" ref="G89:Q89" si="86">IF(ISERR(AVERAGE(G90:G93)),"",AVERAGE(G90:G93))</f>
        <v/>
      </c>
      <c r="H89" s="8" t="str">
        <f t="shared" si="86"/>
        <v/>
      </c>
      <c r="I89" s="8" t="str">
        <f t="shared" si="86"/>
        <v/>
      </c>
      <c r="J89" s="44" t="str">
        <f>IF(ISERR(AVERAGE(J90:J93)),"",AVERAGE(J90:J93))</f>
        <v/>
      </c>
      <c r="K89" s="56" t="str">
        <f>IF($D89="","",G89-VLOOKUP($D89,$B$4:$BS$990,6,FALSE))</f>
        <v/>
      </c>
      <c r="L89" s="56" t="str">
        <f>IF($D89="","",H89-VLOOKUP($D89,$B$4:$BS$990,7,FALSE))</f>
        <v/>
      </c>
      <c r="M89" s="56" t="str">
        <f>IF($D89="","",I89-VLOOKUP($D89,$B$4:$BS$990,8,FALSE))</f>
        <v/>
      </c>
      <c r="N89" s="74" t="str">
        <f>IF($D89="","",J89-VLOOKUP($D89,$B$4:$BS$990,9,FALSE))</f>
        <v/>
      </c>
      <c r="O89" s="82" t="str">
        <f t="shared" si="86"/>
        <v/>
      </c>
      <c r="P89" s="8" t="str">
        <f t="shared" si="86"/>
        <v/>
      </c>
      <c r="Q89" s="8" t="str">
        <f t="shared" si="86"/>
        <v/>
      </c>
      <c r="R89" s="56" t="str">
        <f>IF($D89="","",O89-VLOOKUP($D89,$B$4:$BS$990,14,FALSE))</f>
        <v/>
      </c>
      <c r="S89" s="56" t="str">
        <f>IF($D89="","",P89-VLOOKUP($D89,$B$4:$BS$990,15,FALSE))</f>
        <v/>
      </c>
      <c r="T89" s="78" t="str">
        <f>IF($D89="","",Q89-VLOOKUP($D89,$B$4:$BS$990,16,FALSE))</f>
        <v/>
      </c>
      <c r="U89" s="44" t="str">
        <f t="shared" ref="U89:AS89" si="87">IF(ISERR(AVERAGE(U90:U93)),"",AVERAGE(U90:U93))</f>
        <v/>
      </c>
      <c r="V89" s="11" t="str">
        <f t="shared" si="87"/>
        <v/>
      </c>
      <c r="W89" s="88" t="str">
        <f t="shared" si="87"/>
        <v/>
      </c>
      <c r="X89" s="32" t="str">
        <f t="shared" si="87"/>
        <v/>
      </c>
      <c r="Y89" s="71" t="str">
        <f>IF($D89="","",W89-VLOOKUP($D89,$B$4:$BS$990,22,FALSE))</f>
        <v/>
      </c>
      <c r="Z89" s="89" t="str">
        <f>IF($D89="","",X89-VLOOKUP($D89,$B$4:$BS$990,23,FALSE))</f>
        <v/>
      </c>
      <c r="AA89" s="88" t="str">
        <f t="shared" si="87"/>
        <v/>
      </c>
      <c r="AB89" s="31" t="str">
        <f t="shared" si="87"/>
        <v/>
      </c>
      <c r="AC89" s="31" t="str">
        <f t="shared" si="87"/>
        <v/>
      </c>
      <c r="AD89" s="32" t="str">
        <f>IF(ISERR(AVERAGE(AD90:AD93)),"",AVERAGE(AD90:AD93))</f>
        <v/>
      </c>
      <c r="AE89" s="71" t="str">
        <f>IF($D89="","",AA89-VLOOKUP($D89,$B$4:$BS$990,26,FALSE))</f>
        <v/>
      </c>
      <c r="AF89" s="71" t="str">
        <f>IF($D89="","",AB89-VLOOKUP($D89,$B$4:$BS$990,27,FALSE))</f>
        <v/>
      </c>
      <c r="AG89" s="92" t="str">
        <f>IF($D89="","",AC89-VLOOKUP($D89,$B$4:$BS$990,28,FALSE))</f>
        <v/>
      </c>
      <c r="AH89" s="89" t="str">
        <f>IF($D89="","",AD89-VLOOKUP($D89,$B$4:$BS$990,29,FALSE))</f>
        <v/>
      </c>
      <c r="AI89" s="95" t="str">
        <f t="shared" si="87"/>
        <v/>
      </c>
      <c r="AJ89" s="35" t="str">
        <f t="shared" si="87"/>
        <v/>
      </c>
      <c r="AK89" s="138" t="str">
        <f>IF((ISERROR((Coeff!AB89+TestInfoPage!$B$6)/(Coeff!AA89+TestInfoPage!$B$5))),"",((Coeff!AB89+TestInfoPage!$B$6)/(Coeff!AA89+TestInfoPage!$B$5)))</f>
        <v/>
      </c>
      <c r="AL89" s="135" t="str">
        <f>IF($D89="","",AI89-VLOOKUP($D89,$B$4:$BS$990,34,FALSE))</f>
        <v/>
      </c>
      <c r="AM89" s="72" t="str">
        <f>IF($D89="","",AJ89-VLOOKUP($D89,$B$4:$BS$990,35,FALSE))</f>
        <v/>
      </c>
      <c r="AN89" s="115" t="str">
        <f>IF($D89="","",AK89-VLOOKUP($D89,$B$4:$BS$990,36,FALSE))</f>
        <v/>
      </c>
      <c r="AO89" s="134" t="str">
        <f t="shared" si="65"/>
        <v/>
      </c>
      <c r="AP89" s="44" t="str">
        <f t="shared" si="87"/>
        <v/>
      </c>
      <c r="AQ89" s="8" t="str">
        <f t="shared" si="87"/>
        <v/>
      </c>
      <c r="AR89" s="11" t="str">
        <f t="shared" si="87"/>
        <v/>
      </c>
      <c r="AS89" s="11" t="str">
        <f t="shared" si="87"/>
        <v/>
      </c>
      <c r="AT89" s="56" t="str">
        <f>IF(ISERR(AP89-VLOOKUP($D89,$B$4:$BS$990,41,FALSE)),"",(AP89-VLOOKUP($D89,$B$4:$BS$990,41,FALSE)))</f>
        <v/>
      </c>
      <c r="AU89" s="56" t="str">
        <f>IF(ISERR(AQ89-VLOOKUP($D89,$B$4:$BS$990,42,FALSE)),"",(AQ89-VLOOKUP($D89,$B$4:$BS$990,42,FALSE)))</f>
        <v/>
      </c>
      <c r="AV89" s="74" t="str">
        <f>IF(ISERR(AR89-VLOOKUP($D89,$B$4:$BS$990,43,FALSE)),"",AR89-VLOOKUP($D89,$B$4:$BS$990,43,FALSE))</f>
        <v/>
      </c>
      <c r="AW89" s="74" t="str">
        <f>IF(ISERR(AS89-VLOOKUP($D89,$B$4:$BS$990,44,FALSE)),"",AS89-VLOOKUP($D89,$B$4:$BS$990,44,FALSE))</f>
        <v/>
      </c>
      <c r="AX89" s="82" t="str">
        <f t="shared" ref="AX89:AY89" si="88">IF(ISERR(AVERAGE(AX90:AX93)),"",AVERAGE(AX90:AX93))</f>
        <v/>
      </c>
      <c r="AY89" s="11" t="str">
        <f t="shared" si="88"/>
        <v/>
      </c>
      <c r="AZ89" s="89" t="str">
        <f>IF(ISERR(AX89-VLOOKUP($D89,$B$4:$BS$990,49,FALSE)),"",(AX89-VLOOKUP($D89,$B$4:$BS$990,49,FALSE)))</f>
        <v/>
      </c>
      <c r="BA89" s="89" t="str">
        <f>IF(ISERR(AY89-VLOOKUP($D89,$B$4:$BS$990,50,FALSE)),"",(AY89-VLOOKUP($D89,$B$4:$BS$990,50,FALSE)))</f>
        <v/>
      </c>
      <c r="BB89" s="82" t="str">
        <f t="shared" ref="BB89:BS89" si="89">IF(ISERR(AVERAGE(BB90:BB93)),"",AVERAGE(BB90:BB93))</f>
        <v/>
      </c>
      <c r="BC89" s="8" t="str">
        <f t="shared" si="89"/>
        <v/>
      </c>
      <c r="BD89" s="8" t="str">
        <f t="shared" si="89"/>
        <v/>
      </c>
      <c r="BE89" s="8" t="str">
        <f t="shared" si="89"/>
        <v/>
      </c>
      <c r="BF89" s="8" t="str">
        <f t="shared" si="89"/>
        <v/>
      </c>
      <c r="BG89" s="8" t="str">
        <f t="shared" si="89"/>
        <v/>
      </c>
      <c r="BH89" s="8" t="str">
        <f t="shared" si="89"/>
        <v/>
      </c>
      <c r="BI89" s="8" t="str">
        <f t="shared" si="89"/>
        <v/>
      </c>
      <c r="BJ89" s="8" t="str">
        <f t="shared" si="89"/>
        <v/>
      </c>
      <c r="BK89" s="8" t="str">
        <f t="shared" si="89"/>
        <v/>
      </c>
      <c r="BL89" s="8" t="str">
        <f t="shared" si="89"/>
        <v/>
      </c>
      <c r="BM89" s="8" t="str">
        <f t="shared" si="89"/>
        <v/>
      </c>
      <c r="BN89" s="8" t="str">
        <f t="shared" si="89"/>
        <v/>
      </c>
      <c r="BO89" s="8" t="str">
        <f t="shared" si="89"/>
        <v/>
      </c>
      <c r="BP89" s="8" t="str">
        <f t="shared" si="89"/>
        <v/>
      </c>
      <c r="BQ89" s="8" t="str">
        <f t="shared" si="89"/>
        <v/>
      </c>
      <c r="BR89" s="8" t="str">
        <f t="shared" si="89"/>
        <v/>
      </c>
      <c r="BS89" s="103" t="str">
        <f t="shared" si="89"/>
        <v/>
      </c>
      <c r="BT89" s="106" t="str">
        <f>IF($D89="","",BB89-VLOOKUP($D89,$B$4:$BS$990,53,FALSE))</f>
        <v/>
      </c>
      <c r="BU89" s="56" t="str">
        <f>IF($D89="","",BC89-VLOOKUP($D89,$B$4:$BS$990,54,FALSE))</f>
        <v/>
      </c>
      <c r="BV89" s="56" t="str">
        <f>IF($D89="","",BD89-VLOOKUP($D89,$B$4:$BS$990,55,FALSE))</f>
        <v/>
      </c>
      <c r="BW89" s="56" t="str">
        <f>IF($D89="","",BE89-VLOOKUP($D89,$B$4:$BS$990,56,FALSE))</f>
        <v/>
      </c>
      <c r="BX89" s="56" t="str">
        <f>IF($D89="","",BF89-VLOOKUP($D89,$B$4:$BS$990,57,FALSE))</f>
        <v/>
      </c>
      <c r="BY89" s="56" t="str">
        <f>IF($D89="","",BG89-VLOOKUP($D89,$B$4:$BS$990,58,FALSE))</f>
        <v/>
      </c>
      <c r="BZ89" s="56" t="str">
        <f>IF($D89="","",BH89-VLOOKUP($D89,$B$4:$BS$990,59,FALSE))</f>
        <v/>
      </c>
      <c r="CA89" s="56" t="str">
        <f>IF($D89="","",BI89-VLOOKUP($D89,$B$4:$BS$990,60,FALSE))</f>
        <v/>
      </c>
      <c r="CB89" s="56" t="str">
        <f>IF($D89="","",BJ89-VLOOKUP($D89,$B$4:$BS$990,61,FALSE))</f>
        <v/>
      </c>
      <c r="CC89" s="56" t="str">
        <f>IF($D89="","",BK89-VLOOKUP($D89,$B$4:$BS$990,62,FALSE))</f>
        <v/>
      </c>
      <c r="CD89" s="56" t="str">
        <f>IF($D89="","",BL89-VLOOKUP($D89,$B$4:$BS$990,63,FALSE))</f>
        <v/>
      </c>
      <c r="CE89" s="56" t="str">
        <f>IF($D89="","",BM89-VLOOKUP($D89,$B$4:$BS$990,64,FALSE))</f>
        <v/>
      </c>
      <c r="CF89" s="56" t="str">
        <f>IF($D89="","",BN89-VLOOKUP($D89,$B$4:$BS$990,65,FALSE))</f>
        <v/>
      </c>
      <c r="CG89" s="56" t="str">
        <f>IF($D89="","",BO89-VLOOKUP($D89,$B$4:$BS$990,66,FALSE))</f>
        <v/>
      </c>
      <c r="CH89" s="56" t="str">
        <f>IF($D89="","",BP89-VLOOKUP($D89,$B$4:$BS$990,67,FALSE))</f>
        <v/>
      </c>
      <c r="CI89" s="56" t="str">
        <f>IF($D89="","",BQ89-VLOOKUP($D89,$B$4:$BS$990,68,FALSE))</f>
        <v/>
      </c>
      <c r="CJ89" s="56" t="str">
        <f>IF($D89="","",BR89-VLOOKUP($D89,$B$4:$BS$990,69,FALSE))</f>
        <v/>
      </c>
      <c r="CK89" s="78" t="str">
        <f>IF($D89="","",BS89-VLOOKUP($D89,$B$4:$BS$990,70,FALSE))</f>
        <v/>
      </c>
      <c r="CL89" s="1"/>
    </row>
    <row r="90" spans="1:90" x14ac:dyDescent="0.25">
      <c r="A90" s="158">
        <v>0</v>
      </c>
      <c r="B90" s="10"/>
      <c r="C90" s="10">
        <v>1</v>
      </c>
      <c r="D90" s="76"/>
      <c r="E90" s="79" t="s">
        <v>119</v>
      </c>
      <c r="F90" s="80"/>
      <c r="G90" s="7" t="s">
        <v>119</v>
      </c>
      <c r="H90" s="7" t="s">
        <v>119</v>
      </c>
      <c r="I90" s="7" t="s">
        <v>119</v>
      </c>
      <c r="J90" s="7" t="s">
        <v>119</v>
      </c>
      <c r="K90" s="7"/>
      <c r="L90" s="7"/>
      <c r="M90" s="7"/>
      <c r="N90" s="7"/>
      <c r="O90" s="79" t="s">
        <v>119</v>
      </c>
      <c r="P90" s="7" t="s">
        <v>119</v>
      </c>
      <c r="Q90" s="7" t="s">
        <v>119</v>
      </c>
      <c r="R90" s="7"/>
      <c r="S90" s="7"/>
      <c r="T90" s="80"/>
      <c r="U90" s="6" t="s">
        <v>119</v>
      </c>
      <c r="V90" s="6" t="s">
        <v>119</v>
      </c>
      <c r="W90" s="90" t="str">
        <f>IF(ISERR(X90*$AC$1/375),"",(X90*$AC$1/375))</f>
        <v/>
      </c>
      <c r="X90" s="15" t="str">
        <f>IF(ISERR(((($AC$1)^2)*0.002558)*E90*$F$1),"",(((($AC$1)^2)*0.002558)*E90*$F$1))</f>
        <v/>
      </c>
      <c r="Y90" s="15"/>
      <c r="Z90" s="91"/>
      <c r="AA90" s="90" t="str">
        <f t="shared" ref="AA90:AD93" si="90">IF(ISERR(((($AC$1)^2)*0.002558)*G90*$F$1),"",(((($AC$1)^2)*0.002558)*G90*$F$1))</f>
        <v/>
      </c>
      <c r="AB90" s="15" t="str">
        <f t="shared" si="90"/>
        <v/>
      </c>
      <c r="AC90" s="15" t="str">
        <f t="shared" si="90"/>
        <v/>
      </c>
      <c r="AD90" s="15" t="str">
        <f t="shared" si="90"/>
        <v/>
      </c>
      <c r="AE90" s="15"/>
      <c r="AF90" s="15"/>
      <c r="AG90" s="15"/>
      <c r="AH90" s="91"/>
      <c r="AI90" s="96" t="str">
        <f>IF(ISERR(AA90/X90),"",(AA90/X90))</f>
        <v/>
      </c>
      <c r="AJ90" s="36" t="str">
        <f>IF(ISERR(AB90/AA90),"",(AB90/AA90))</f>
        <v/>
      </c>
      <c r="AK90" s="139" t="str">
        <f>IF((ISERROR((Coeff!AB90+TestInfoPage!$B$6)/(Coeff!AA90+TestInfoPage!$B$5))),"",((Coeff!AB90+TestInfoPage!$B$6)/(Coeff!AA90+TestInfoPage!$B$5)))</f>
        <v/>
      </c>
      <c r="AL90" s="96"/>
      <c r="AM90" s="36"/>
      <c r="AN90" s="142"/>
      <c r="AO90" s="79" t="str">
        <f t="shared" si="65"/>
        <v/>
      </c>
      <c r="AP90" s="4" t="s">
        <v>119</v>
      </c>
      <c r="AQ90" s="4" t="s">
        <v>119</v>
      </c>
      <c r="AR90" s="4" t="s">
        <v>119</v>
      </c>
      <c r="AS90" s="4" t="s">
        <v>119</v>
      </c>
      <c r="AT90" s="7"/>
      <c r="AU90" s="7"/>
      <c r="AV90" s="7"/>
      <c r="AW90" s="80"/>
      <c r="AX90" s="81" t="s">
        <v>119</v>
      </c>
      <c r="AY90" s="4" t="s">
        <v>119</v>
      </c>
      <c r="AZ90" s="15"/>
      <c r="BA90" s="91"/>
      <c r="BB90" s="162" t="s">
        <v>119</v>
      </c>
      <c r="BC90" s="128" t="s">
        <v>119</v>
      </c>
      <c r="BD90" s="128" t="s">
        <v>119</v>
      </c>
      <c r="BE90" s="128" t="s">
        <v>119</v>
      </c>
      <c r="BF90" s="128" t="s">
        <v>119</v>
      </c>
      <c r="BG90" s="128" t="s">
        <v>119</v>
      </c>
      <c r="BH90" s="128" t="s">
        <v>119</v>
      </c>
      <c r="BI90" s="128" t="s">
        <v>119</v>
      </c>
      <c r="BJ90" s="128" t="s">
        <v>119</v>
      </c>
      <c r="BK90" s="128" t="s">
        <v>119</v>
      </c>
      <c r="BL90" s="128" t="s">
        <v>119</v>
      </c>
      <c r="BM90" s="128" t="s">
        <v>119</v>
      </c>
      <c r="BN90" s="128" t="s">
        <v>119</v>
      </c>
      <c r="BO90" s="128" t="s">
        <v>119</v>
      </c>
      <c r="BP90" s="128" t="s">
        <v>119</v>
      </c>
      <c r="BQ90" s="128" t="s">
        <v>119</v>
      </c>
      <c r="BR90" s="128" t="s">
        <v>119</v>
      </c>
      <c r="BS90" s="129" t="s">
        <v>119</v>
      </c>
      <c r="BT90" s="109"/>
      <c r="BU90" s="101"/>
      <c r="BV90" s="101"/>
      <c r="BW90" s="101"/>
      <c r="BX90" s="101"/>
      <c r="BY90" s="101"/>
      <c r="BZ90" s="101"/>
      <c r="CA90" s="101"/>
      <c r="CB90" s="101"/>
      <c r="CC90" s="101"/>
      <c r="CD90" s="101"/>
      <c r="CE90" s="101"/>
      <c r="CF90" s="101"/>
      <c r="CG90" s="101"/>
      <c r="CH90" s="101"/>
      <c r="CI90" s="101"/>
      <c r="CJ90" s="101"/>
      <c r="CK90" s="110"/>
      <c r="CL90" s="1"/>
    </row>
    <row r="91" spans="1:90" x14ac:dyDescent="0.25">
      <c r="A91" s="158">
        <v>0</v>
      </c>
      <c r="B91" s="10"/>
      <c r="C91" s="10">
        <v>2</v>
      </c>
      <c r="D91" s="76"/>
      <c r="E91" s="81" t="s">
        <v>119</v>
      </c>
      <c r="F91" s="80"/>
      <c r="G91" s="4" t="s">
        <v>119</v>
      </c>
      <c r="H91" s="4" t="s">
        <v>119</v>
      </c>
      <c r="I91" s="4" t="s">
        <v>119</v>
      </c>
      <c r="J91" s="4" t="s">
        <v>119</v>
      </c>
      <c r="K91" s="7"/>
      <c r="L91" s="7"/>
      <c r="M91" s="7"/>
      <c r="N91" s="7"/>
      <c r="O91" s="81" t="s">
        <v>119</v>
      </c>
      <c r="P91" s="4" t="s">
        <v>119</v>
      </c>
      <c r="Q91" s="4" t="s">
        <v>119</v>
      </c>
      <c r="R91" s="7"/>
      <c r="S91" s="7"/>
      <c r="T91" s="80"/>
      <c r="U91" s="6" t="s">
        <v>119</v>
      </c>
      <c r="V91" s="6" t="s">
        <v>119</v>
      </c>
      <c r="W91" s="90" t="str">
        <f>IF(ISERR(X91*$AC$1/375),"",(X91*$AC$1/375))</f>
        <v/>
      </c>
      <c r="X91" s="15" t="str">
        <f>IF(ISERR(((($AC$1)^2)*0.002558)*E91*$F$1),"",(((($AC$1)^2)*0.002558)*E91*$F$1))</f>
        <v/>
      </c>
      <c r="Y91" s="15"/>
      <c r="Z91" s="91"/>
      <c r="AA91" s="90" t="str">
        <f t="shared" si="90"/>
        <v/>
      </c>
      <c r="AB91" s="15" t="str">
        <f t="shared" si="90"/>
        <v/>
      </c>
      <c r="AC91" s="15" t="str">
        <f t="shared" si="90"/>
        <v/>
      </c>
      <c r="AD91" s="15" t="str">
        <f t="shared" si="90"/>
        <v/>
      </c>
      <c r="AE91" s="15"/>
      <c r="AF91" s="15"/>
      <c r="AG91" s="15"/>
      <c r="AH91" s="91"/>
      <c r="AI91" s="96" t="str">
        <f>IF(ISERR(AA91/X91),"",(AA91/X91))</f>
        <v/>
      </c>
      <c r="AJ91" s="97" t="str">
        <f>IF(ISERR(AB91/AA91),"",(AB91/AA91))</f>
        <v/>
      </c>
      <c r="AK91" s="139" t="str">
        <f>IF((ISERROR((Coeff!AB91+TestInfoPage!$B$6)/(Coeff!AA91+TestInfoPage!$B$5))),"",((Coeff!AB91+TestInfoPage!$B$6)/(Coeff!AA91+TestInfoPage!$B$5)))</f>
        <v/>
      </c>
      <c r="AL91" s="96"/>
      <c r="AM91" s="36"/>
      <c r="AN91" s="142"/>
      <c r="AO91" s="79" t="str">
        <f t="shared" si="65"/>
        <v/>
      </c>
      <c r="AP91" s="4" t="s">
        <v>119</v>
      </c>
      <c r="AQ91" s="4" t="s">
        <v>119</v>
      </c>
      <c r="AR91" s="4" t="s">
        <v>119</v>
      </c>
      <c r="AS91" s="4" t="s">
        <v>119</v>
      </c>
      <c r="AT91" s="7"/>
      <c r="AU91" s="7"/>
      <c r="AV91" s="7"/>
      <c r="AW91" s="80"/>
      <c r="AX91" s="81" t="s">
        <v>119</v>
      </c>
      <c r="AY91" s="4" t="s">
        <v>119</v>
      </c>
      <c r="AZ91" s="15"/>
      <c r="BA91" s="91"/>
      <c r="BB91" s="79" t="s">
        <v>119</v>
      </c>
      <c r="BC91" s="7" t="s">
        <v>119</v>
      </c>
      <c r="BD91" s="7" t="s">
        <v>119</v>
      </c>
      <c r="BE91" s="7" t="s">
        <v>119</v>
      </c>
      <c r="BF91" s="7" t="s">
        <v>119</v>
      </c>
      <c r="BG91" s="7" t="s">
        <v>119</v>
      </c>
      <c r="BH91" s="7" t="s">
        <v>119</v>
      </c>
      <c r="BI91" s="7" t="s">
        <v>119</v>
      </c>
      <c r="BJ91" s="7" t="s">
        <v>119</v>
      </c>
      <c r="BK91" s="7" t="s">
        <v>119</v>
      </c>
      <c r="BL91" s="7" t="s">
        <v>119</v>
      </c>
      <c r="BM91" s="7" t="s">
        <v>119</v>
      </c>
      <c r="BN91" s="7" t="s">
        <v>119</v>
      </c>
      <c r="BO91" s="7" t="s">
        <v>119</v>
      </c>
      <c r="BP91" s="7" t="s">
        <v>119</v>
      </c>
      <c r="BQ91" s="7" t="s">
        <v>119</v>
      </c>
      <c r="BR91" s="7" t="s">
        <v>119</v>
      </c>
      <c r="BS91" s="80" t="s">
        <v>119</v>
      </c>
      <c r="BT91" s="109"/>
      <c r="BU91" s="101"/>
      <c r="BV91" s="101"/>
      <c r="BW91" s="101"/>
      <c r="BX91" s="101"/>
      <c r="BY91" s="101"/>
      <c r="BZ91" s="101"/>
      <c r="CA91" s="101"/>
      <c r="CB91" s="101"/>
      <c r="CC91" s="101"/>
      <c r="CD91" s="101"/>
      <c r="CE91" s="101"/>
      <c r="CF91" s="101"/>
      <c r="CG91" s="101"/>
      <c r="CH91" s="101"/>
      <c r="CI91" s="101"/>
      <c r="CJ91" s="101"/>
      <c r="CK91" s="110"/>
      <c r="CL91" s="1"/>
    </row>
    <row r="92" spans="1:90" ht="13.5" customHeight="1" x14ac:dyDescent="0.25">
      <c r="A92" s="158">
        <v>0</v>
      </c>
      <c r="B92" s="10"/>
      <c r="C92" s="10">
        <v>3</v>
      </c>
      <c r="D92" s="76"/>
      <c r="E92" s="81" t="s">
        <v>119</v>
      </c>
      <c r="F92" s="80"/>
      <c r="G92" s="4" t="s">
        <v>119</v>
      </c>
      <c r="H92" s="4" t="s">
        <v>119</v>
      </c>
      <c r="I92" s="4" t="s">
        <v>119</v>
      </c>
      <c r="J92" s="4" t="s">
        <v>119</v>
      </c>
      <c r="K92" s="7"/>
      <c r="L92" s="7"/>
      <c r="M92" s="7"/>
      <c r="N92" s="7"/>
      <c r="O92" s="81" t="s">
        <v>119</v>
      </c>
      <c r="P92" s="4" t="s">
        <v>119</v>
      </c>
      <c r="Q92" s="4" t="s">
        <v>119</v>
      </c>
      <c r="R92" s="7"/>
      <c r="S92" s="7"/>
      <c r="T92" s="80"/>
      <c r="U92" s="6" t="s">
        <v>119</v>
      </c>
      <c r="V92" s="6" t="s">
        <v>119</v>
      </c>
      <c r="W92" s="90" t="str">
        <f>IF(ISERR(X92*$AC$1/375),"",(X92*$AC$1/375))</f>
        <v/>
      </c>
      <c r="X92" s="15" t="str">
        <f>IF(ISERR(((($AC$1)^2)*0.002558)*E92*$F$1),"",(((($AC$1)^2)*0.002558)*E92*$F$1))</f>
        <v/>
      </c>
      <c r="Y92" s="15"/>
      <c r="Z92" s="91"/>
      <c r="AA92" s="90" t="str">
        <f t="shared" si="90"/>
        <v/>
      </c>
      <c r="AB92" s="15" t="str">
        <f t="shared" si="90"/>
        <v/>
      </c>
      <c r="AC92" s="15" t="str">
        <f t="shared" si="90"/>
        <v/>
      </c>
      <c r="AD92" s="15" t="str">
        <f t="shared" si="90"/>
        <v/>
      </c>
      <c r="AE92" s="15"/>
      <c r="AF92" s="15"/>
      <c r="AG92" s="15"/>
      <c r="AH92" s="91"/>
      <c r="AI92" s="96" t="str">
        <f>IF(ISERR(AA92/X92),"",(AA92/X92))</f>
        <v/>
      </c>
      <c r="AJ92" s="97" t="str">
        <f>IF(ISERR(AB92/AA92),"",(AB92/AA92))</f>
        <v/>
      </c>
      <c r="AK92" s="139" t="str">
        <f>IF((ISERROR((Coeff!AB92+TestInfoPage!$B$6)/(Coeff!AA92+TestInfoPage!$B$5))),"",((Coeff!AB92+TestInfoPage!$B$6)/(Coeff!AA92+TestInfoPage!$B$5)))</f>
        <v/>
      </c>
      <c r="AL92" s="96"/>
      <c r="AM92" s="36"/>
      <c r="AN92" s="142"/>
      <c r="AO92" s="79" t="str">
        <f t="shared" si="65"/>
        <v/>
      </c>
      <c r="AP92" s="4" t="s">
        <v>119</v>
      </c>
      <c r="AQ92" s="4" t="s">
        <v>119</v>
      </c>
      <c r="AR92" s="4" t="s">
        <v>119</v>
      </c>
      <c r="AS92" s="4" t="s">
        <v>119</v>
      </c>
      <c r="AT92" s="7"/>
      <c r="AU92" s="7"/>
      <c r="AV92" s="7"/>
      <c r="AW92" s="80"/>
      <c r="AX92" s="81" t="s">
        <v>119</v>
      </c>
      <c r="AY92" s="4" t="s">
        <v>119</v>
      </c>
      <c r="AZ92" s="15"/>
      <c r="BA92" s="91"/>
      <c r="BB92" s="79" t="s">
        <v>119</v>
      </c>
      <c r="BC92" s="7" t="s">
        <v>119</v>
      </c>
      <c r="BD92" s="7" t="s">
        <v>119</v>
      </c>
      <c r="BE92" s="7" t="s">
        <v>119</v>
      </c>
      <c r="BF92" s="7" t="s">
        <v>119</v>
      </c>
      <c r="BG92" s="7" t="s">
        <v>119</v>
      </c>
      <c r="BH92" s="7" t="s">
        <v>119</v>
      </c>
      <c r="BI92" s="7" t="s">
        <v>119</v>
      </c>
      <c r="BJ92" s="7" t="s">
        <v>119</v>
      </c>
      <c r="BK92" s="7" t="s">
        <v>119</v>
      </c>
      <c r="BL92" s="7" t="s">
        <v>119</v>
      </c>
      <c r="BM92" s="7" t="s">
        <v>119</v>
      </c>
      <c r="BN92" s="7" t="s">
        <v>119</v>
      </c>
      <c r="BO92" s="7" t="s">
        <v>119</v>
      </c>
      <c r="BP92" s="7" t="s">
        <v>119</v>
      </c>
      <c r="BQ92" s="7" t="s">
        <v>119</v>
      </c>
      <c r="BR92" s="7" t="s">
        <v>119</v>
      </c>
      <c r="BS92" s="80" t="s">
        <v>119</v>
      </c>
      <c r="BT92" s="109"/>
      <c r="BU92" s="101"/>
      <c r="BV92" s="101"/>
      <c r="BW92" s="101"/>
      <c r="BX92" s="101"/>
      <c r="BY92" s="101"/>
      <c r="BZ92" s="101"/>
      <c r="CA92" s="101"/>
      <c r="CB92" s="101"/>
      <c r="CC92" s="101"/>
      <c r="CD92" s="101"/>
      <c r="CE92" s="101"/>
      <c r="CF92" s="101"/>
      <c r="CG92" s="101"/>
      <c r="CH92" s="101"/>
      <c r="CI92" s="101"/>
      <c r="CJ92" s="101"/>
      <c r="CK92" s="110"/>
      <c r="CL92" s="1"/>
    </row>
    <row r="93" spans="1:90" ht="13.5" customHeight="1" thickBot="1" x14ac:dyDescent="0.3">
      <c r="A93" s="158">
        <v>0</v>
      </c>
      <c r="B93" s="10"/>
      <c r="C93" s="10">
        <v>4</v>
      </c>
      <c r="D93" s="76"/>
      <c r="E93" s="81" t="s">
        <v>119</v>
      </c>
      <c r="F93" s="80"/>
      <c r="G93" s="4" t="s">
        <v>119</v>
      </c>
      <c r="H93" s="4" t="s">
        <v>119</v>
      </c>
      <c r="I93" s="4" t="s">
        <v>119</v>
      </c>
      <c r="J93" s="4" t="s">
        <v>119</v>
      </c>
      <c r="K93" s="7"/>
      <c r="L93" s="7"/>
      <c r="M93" s="7"/>
      <c r="N93" s="7"/>
      <c r="O93" s="81" t="s">
        <v>119</v>
      </c>
      <c r="P93" s="4" t="s">
        <v>119</v>
      </c>
      <c r="Q93" s="4" t="s">
        <v>119</v>
      </c>
      <c r="R93" s="7"/>
      <c r="S93" s="7"/>
      <c r="T93" s="80"/>
      <c r="U93" s="6" t="s">
        <v>119</v>
      </c>
      <c r="V93" s="6" t="s">
        <v>119</v>
      </c>
      <c r="W93" s="90" t="str">
        <f>IF(ISERR(X93*$AC$1/375),"",(X93*$AC$1/375))</f>
        <v/>
      </c>
      <c r="X93" s="15" t="str">
        <f>IF(ISERR(((($AC$1)^2)*0.002558)*E93*$F$1),"",(((($AC$1)^2)*0.002558)*E93*$F$1))</f>
        <v/>
      </c>
      <c r="Y93" s="15"/>
      <c r="Z93" s="91"/>
      <c r="AA93" s="90" t="str">
        <f t="shared" si="90"/>
        <v/>
      </c>
      <c r="AB93" s="15" t="str">
        <f t="shared" si="90"/>
        <v/>
      </c>
      <c r="AC93" s="15" t="str">
        <f t="shared" si="90"/>
        <v/>
      </c>
      <c r="AD93" s="15" t="str">
        <f t="shared" si="90"/>
        <v/>
      </c>
      <c r="AE93" s="15"/>
      <c r="AF93" s="15"/>
      <c r="AG93" s="15"/>
      <c r="AH93" s="91"/>
      <c r="AI93" s="96" t="str">
        <f>IF(ISERR(AA93/X93),"",(AA93/X93))</f>
        <v/>
      </c>
      <c r="AJ93" s="97" t="str">
        <f>IF(ISERR(AB93/AA93),"",(AB93/AA93))</f>
        <v/>
      </c>
      <c r="AK93" s="139" t="str">
        <f>IF((ISERROR((Coeff!AB93+TestInfoPage!$B$6)/(Coeff!AA93+TestInfoPage!$B$5))),"",((Coeff!AB93+TestInfoPage!$B$6)/(Coeff!AA93+TestInfoPage!$B$5)))</f>
        <v/>
      </c>
      <c r="AL93" s="96"/>
      <c r="AM93" s="36"/>
      <c r="AN93" s="142"/>
      <c r="AO93" s="79" t="str">
        <f t="shared" si="65"/>
        <v/>
      </c>
      <c r="AP93" s="4" t="s">
        <v>119</v>
      </c>
      <c r="AQ93" s="4" t="s">
        <v>119</v>
      </c>
      <c r="AR93" s="4" t="s">
        <v>119</v>
      </c>
      <c r="AS93" s="4" t="s">
        <v>119</v>
      </c>
      <c r="AT93" s="7"/>
      <c r="AU93" s="7"/>
      <c r="AV93" s="7"/>
      <c r="AW93" s="80"/>
      <c r="AX93" s="81" t="s">
        <v>119</v>
      </c>
      <c r="AY93" s="4" t="s">
        <v>119</v>
      </c>
      <c r="AZ93" s="15"/>
      <c r="BA93" s="91"/>
      <c r="BB93" s="163" t="s">
        <v>119</v>
      </c>
      <c r="BC93" s="157" t="s">
        <v>119</v>
      </c>
      <c r="BD93" s="157" t="s">
        <v>119</v>
      </c>
      <c r="BE93" s="157" t="s">
        <v>119</v>
      </c>
      <c r="BF93" s="157" t="s">
        <v>119</v>
      </c>
      <c r="BG93" s="157" t="s">
        <v>119</v>
      </c>
      <c r="BH93" s="157" t="s">
        <v>119</v>
      </c>
      <c r="BI93" s="157" t="s">
        <v>119</v>
      </c>
      <c r="BJ93" s="157" t="s">
        <v>119</v>
      </c>
      <c r="BK93" s="157" t="s">
        <v>119</v>
      </c>
      <c r="BL93" s="157" t="s">
        <v>119</v>
      </c>
      <c r="BM93" s="157" t="s">
        <v>119</v>
      </c>
      <c r="BN93" s="157" t="s">
        <v>119</v>
      </c>
      <c r="BO93" s="157" t="s">
        <v>119</v>
      </c>
      <c r="BP93" s="157" t="s">
        <v>119</v>
      </c>
      <c r="BQ93" s="157" t="s">
        <v>119</v>
      </c>
      <c r="BR93" s="157" t="s">
        <v>119</v>
      </c>
      <c r="BS93" s="84" t="s">
        <v>119</v>
      </c>
      <c r="BT93" s="109"/>
      <c r="BU93" s="101"/>
      <c r="BV93" s="101"/>
      <c r="BW93" s="101"/>
      <c r="BX93" s="101"/>
      <c r="BY93" s="101"/>
      <c r="BZ93" s="101"/>
      <c r="CA93" s="101"/>
      <c r="CB93" s="101"/>
      <c r="CC93" s="101"/>
      <c r="CD93" s="101"/>
      <c r="CE93" s="101"/>
      <c r="CF93" s="101"/>
      <c r="CG93" s="101"/>
      <c r="CH93" s="101"/>
      <c r="CI93" s="101"/>
      <c r="CJ93" s="101"/>
      <c r="CK93" s="110"/>
      <c r="CL93" s="1"/>
    </row>
    <row r="94" spans="1:90" ht="14.25" thickBot="1" x14ac:dyDescent="0.3">
      <c r="A94" s="158">
        <v>0</v>
      </c>
      <c r="B94" s="9">
        <f>B89+1</f>
        <v>19</v>
      </c>
      <c r="C94" s="66" t="s">
        <v>56</v>
      </c>
      <c r="D94" s="75"/>
      <c r="E94" s="82" t="str">
        <f>IF(ISERR(AVERAGE(E95:E98)),"",AVERAGE(E95:E98))</f>
        <v/>
      </c>
      <c r="F94" s="78" t="str">
        <f>IF($D94="","",E94-VLOOKUP($D94,$B$4:$BS$990,4,FALSE))</f>
        <v/>
      </c>
      <c r="G94" s="44" t="str">
        <f t="shared" ref="G94:Q94" si="91">IF(ISERR(AVERAGE(G95:G98)),"",AVERAGE(G95:G98))</f>
        <v/>
      </c>
      <c r="H94" s="8" t="str">
        <f t="shared" si="91"/>
        <v/>
      </c>
      <c r="I94" s="8" t="str">
        <f t="shared" si="91"/>
        <v/>
      </c>
      <c r="J94" s="44" t="str">
        <f>IF(ISERR(AVERAGE(J95:J98)),"",AVERAGE(J95:J98))</f>
        <v/>
      </c>
      <c r="K94" s="56" t="str">
        <f>IF($D94="","",G94-VLOOKUP($D94,$B$4:$BS$990,6,FALSE))</f>
        <v/>
      </c>
      <c r="L94" s="56" t="str">
        <f>IF($D94="","",H94-VLOOKUP($D94,$B$4:$BS$990,7,FALSE))</f>
        <v/>
      </c>
      <c r="M94" s="56" t="str">
        <f>IF($D94="","",I94-VLOOKUP($D94,$B$4:$BS$990,8,FALSE))</f>
        <v/>
      </c>
      <c r="N94" s="74" t="str">
        <f>IF($D94="","",J94-VLOOKUP($D94,$B$4:$BS$990,9,FALSE))</f>
        <v/>
      </c>
      <c r="O94" s="82" t="str">
        <f t="shared" si="91"/>
        <v/>
      </c>
      <c r="P94" s="8" t="str">
        <f t="shared" si="91"/>
        <v/>
      </c>
      <c r="Q94" s="8" t="str">
        <f t="shared" si="91"/>
        <v/>
      </c>
      <c r="R94" s="56" t="str">
        <f>IF($D94="","",O94-VLOOKUP($D94,$B$4:$BS$990,14,FALSE))</f>
        <v/>
      </c>
      <c r="S94" s="56" t="str">
        <f>IF($D94="","",P94-VLOOKUP($D94,$B$4:$BS$990,15,FALSE))</f>
        <v/>
      </c>
      <c r="T94" s="78" t="str">
        <f>IF($D94="","",Q94-VLOOKUP($D94,$B$4:$BS$990,16,FALSE))</f>
        <v/>
      </c>
      <c r="U94" s="44" t="str">
        <f t="shared" ref="U94:AS94" si="92">IF(ISERR(AVERAGE(U95:U98)),"",AVERAGE(U95:U98))</f>
        <v/>
      </c>
      <c r="V94" s="11" t="str">
        <f t="shared" si="92"/>
        <v/>
      </c>
      <c r="W94" s="88" t="str">
        <f t="shared" si="92"/>
        <v/>
      </c>
      <c r="X94" s="32" t="str">
        <f t="shared" si="92"/>
        <v/>
      </c>
      <c r="Y94" s="71" t="str">
        <f>IF($D94="","",W94-VLOOKUP($D94,$B$4:$BS$990,22,FALSE))</f>
        <v/>
      </c>
      <c r="Z94" s="89" t="str">
        <f>IF($D94="","",X94-VLOOKUP($D94,$B$4:$BS$990,23,FALSE))</f>
        <v/>
      </c>
      <c r="AA94" s="88" t="str">
        <f t="shared" si="92"/>
        <v/>
      </c>
      <c r="AB94" s="31" t="str">
        <f t="shared" si="92"/>
        <v/>
      </c>
      <c r="AC94" s="31" t="str">
        <f t="shared" si="92"/>
        <v/>
      </c>
      <c r="AD94" s="32" t="str">
        <f>IF(ISERR(AVERAGE(AD95:AD98)),"",AVERAGE(AD95:AD98))</f>
        <v/>
      </c>
      <c r="AE94" s="71" t="str">
        <f>IF($D94="","",AA94-VLOOKUP($D94,$B$4:$BS$990,26,FALSE))</f>
        <v/>
      </c>
      <c r="AF94" s="71" t="str">
        <f>IF($D94="","",AB94-VLOOKUP($D94,$B$4:$BS$990,27,FALSE))</f>
        <v/>
      </c>
      <c r="AG94" s="92" t="str">
        <f>IF($D94="","",AC94-VLOOKUP($D94,$B$4:$BS$990,28,FALSE))</f>
        <v/>
      </c>
      <c r="AH94" s="89" t="str">
        <f>IF($D94="","",AD94-VLOOKUP($D94,$B$4:$BS$990,29,FALSE))</f>
        <v/>
      </c>
      <c r="AI94" s="95" t="str">
        <f t="shared" si="92"/>
        <v/>
      </c>
      <c r="AJ94" s="35" t="str">
        <f t="shared" si="92"/>
        <v/>
      </c>
      <c r="AK94" s="138" t="str">
        <f>IF((ISERROR((Coeff!AB94+TestInfoPage!$B$6)/(Coeff!AA94+TestInfoPage!$B$5))),"",((Coeff!AB94+TestInfoPage!$B$6)/(Coeff!AA94+TestInfoPage!$B$5)))</f>
        <v/>
      </c>
      <c r="AL94" s="135" t="str">
        <f>IF($D94="","",AI94-VLOOKUP($D94,$B$4:$BS$990,34,FALSE))</f>
        <v/>
      </c>
      <c r="AM94" s="72" t="str">
        <f>IF($D94="","",AJ94-VLOOKUP($D94,$B$4:$BS$990,35,FALSE))</f>
        <v/>
      </c>
      <c r="AN94" s="115" t="str">
        <f>IF($D94="","",AK94-VLOOKUP($D94,$B$4:$BS$990,36,FALSE))</f>
        <v/>
      </c>
      <c r="AO94" s="134" t="str">
        <f t="shared" si="65"/>
        <v/>
      </c>
      <c r="AP94" s="44" t="str">
        <f t="shared" si="92"/>
        <v/>
      </c>
      <c r="AQ94" s="8" t="str">
        <f t="shared" si="92"/>
        <v/>
      </c>
      <c r="AR94" s="11" t="str">
        <f t="shared" si="92"/>
        <v/>
      </c>
      <c r="AS94" s="11" t="str">
        <f t="shared" si="92"/>
        <v/>
      </c>
      <c r="AT94" s="56" t="str">
        <f>IF(ISERR(AP94-VLOOKUP($D94,$B$4:$BS$990,41,FALSE)),"",(AP94-VLOOKUP($D94,$B$4:$BS$990,41,FALSE)))</f>
        <v/>
      </c>
      <c r="AU94" s="56" t="str">
        <f>IF(ISERR(AQ94-VLOOKUP($D94,$B$4:$BS$990,42,FALSE)),"",(AQ94-VLOOKUP($D94,$B$4:$BS$990,42,FALSE)))</f>
        <v/>
      </c>
      <c r="AV94" s="74" t="str">
        <f>IF(ISERR(AR94-VLOOKUP($D94,$B$4:$BS$990,43,FALSE)),"",AR94-VLOOKUP($D94,$B$4:$BS$990,43,FALSE))</f>
        <v/>
      </c>
      <c r="AW94" s="74" t="str">
        <f>IF(ISERR(AS94-VLOOKUP($D94,$B$4:$BS$990,44,FALSE)),"",AS94-VLOOKUP($D94,$B$4:$BS$990,44,FALSE))</f>
        <v/>
      </c>
      <c r="AX94" s="82" t="str">
        <f t="shared" ref="AX94:AY94" si="93">IF(ISERR(AVERAGE(AX95:AX98)),"",AVERAGE(AX95:AX98))</f>
        <v/>
      </c>
      <c r="AY94" s="11" t="str">
        <f t="shared" si="93"/>
        <v/>
      </c>
      <c r="AZ94" s="89" t="str">
        <f>IF(ISERR(AX94-VLOOKUP($D94,$B$4:$BS$990,49,FALSE)),"",(AX94-VLOOKUP($D94,$B$4:$BS$990,49,FALSE)))</f>
        <v/>
      </c>
      <c r="BA94" s="89" t="str">
        <f>IF(ISERR(AY94-VLOOKUP($D94,$B$4:$BS$990,50,FALSE)),"",(AY94-VLOOKUP($D94,$B$4:$BS$990,50,FALSE)))</f>
        <v/>
      </c>
      <c r="BB94" s="82" t="str">
        <f t="shared" ref="BB94:BS94" si="94">IF(ISERR(AVERAGE(BB95:BB98)),"",AVERAGE(BB95:BB98))</f>
        <v/>
      </c>
      <c r="BC94" s="8" t="str">
        <f t="shared" si="94"/>
        <v/>
      </c>
      <c r="BD94" s="8" t="str">
        <f t="shared" si="94"/>
        <v/>
      </c>
      <c r="BE94" s="8" t="str">
        <f t="shared" si="94"/>
        <v/>
      </c>
      <c r="BF94" s="8" t="str">
        <f t="shared" si="94"/>
        <v/>
      </c>
      <c r="BG94" s="8" t="str">
        <f t="shared" si="94"/>
        <v/>
      </c>
      <c r="BH94" s="8" t="str">
        <f t="shared" si="94"/>
        <v/>
      </c>
      <c r="BI94" s="8" t="str">
        <f t="shared" si="94"/>
        <v/>
      </c>
      <c r="BJ94" s="8" t="str">
        <f t="shared" si="94"/>
        <v/>
      </c>
      <c r="BK94" s="8" t="str">
        <f t="shared" si="94"/>
        <v/>
      </c>
      <c r="BL94" s="8" t="str">
        <f t="shared" si="94"/>
        <v/>
      </c>
      <c r="BM94" s="8" t="str">
        <f t="shared" si="94"/>
        <v/>
      </c>
      <c r="BN94" s="8" t="str">
        <f t="shared" si="94"/>
        <v/>
      </c>
      <c r="BO94" s="8" t="str">
        <f t="shared" si="94"/>
        <v/>
      </c>
      <c r="BP94" s="8" t="str">
        <f t="shared" si="94"/>
        <v/>
      </c>
      <c r="BQ94" s="8" t="str">
        <f t="shared" si="94"/>
        <v/>
      </c>
      <c r="BR94" s="8" t="str">
        <f t="shared" si="94"/>
        <v/>
      </c>
      <c r="BS94" s="103" t="str">
        <f t="shared" si="94"/>
        <v/>
      </c>
      <c r="BT94" s="106" t="str">
        <f>IF($D94="","",BB94-VLOOKUP($D94,$B$4:$BS$990,53,FALSE))</f>
        <v/>
      </c>
      <c r="BU94" s="56" t="str">
        <f>IF($D94="","",BC94-VLOOKUP($D94,$B$4:$BS$990,54,FALSE))</f>
        <v/>
      </c>
      <c r="BV94" s="56" t="str">
        <f>IF($D94="","",BD94-VLOOKUP($D94,$B$4:$BS$990,55,FALSE))</f>
        <v/>
      </c>
      <c r="BW94" s="56" t="str">
        <f>IF($D94="","",BE94-VLOOKUP($D94,$B$4:$BS$990,56,FALSE))</f>
        <v/>
      </c>
      <c r="BX94" s="56" t="str">
        <f>IF($D94="","",BF94-VLOOKUP($D94,$B$4:$BS$990,57,FALSE))</f>
        <v/>
      </c>
      <c r="BY94" s="56" t="str">
        <f>IF($D94="","",BG94-VLOOKUP($D94,$B$4:$BS$990,58,FALSE))</f>
        <v/>
      </c>
      <c r="BZ94" s="56" t="str">
        <f>IF($D94="","",BH94-VLOOKUP($D94,$B$4:$BS$990,59,FALSE))</f>
        <v/>
      </c>
      <c r="CA94" s="56" t="str">
        <f>IF($D94="","",BI94-VLOOKUP($D94,$B$4:$BS$990,60,FALSE))</f>
        <v/>
      </c>
      <c r="CB94" s="56" t="str">
        <f>IF($D94="","",BJ94-VLOOKUP($D94,$B$4:$BS$990,61,FALSE))</f>
        <v/>
      </c>
      <c r="CC94" s="56" t="str">
        <f>IF($D94="","",BK94-VLOOKUP($D94,$B$4:$BS$990,62,FALSE))</f>
        <v/>
      </c>
      <c r="CD94" s="56" t="str">
        <f>IF($D94="","",BL94-VLOOKUP($D94,$B$4:$BS$990,63,FALSE))</f>
        <v/>
      </c>
      <c r="CE94" s="56" t="str">
        <f>IF($D94="","",BM94-VLOOKUP($D94,$B$4:$BS$990,64,FALSE))</f>
        <v/>
      </c>
      <c r="CF94" s="56" t="str">
        <f>IF($D94="","",BN94-VLOOKUP($D94,$B$4:$BS$990,65,FALSE))</f>
        <v/>
      </c>
      <c r="CG94" s="56" t="str">
        <f>IF($D94="","",BO94-VLOOKUP($D94,$B$4:$BS$990,66,FALSE))</f>
        <v/>
      </c>
      <c r="CH94" s="56" t="str">
        <f>IF($D94="","",BP94-VLOOKUP($D94,$B$4:$BS$990,67,FALSE))</f>
        <v/>
      </c>
      <c r="CI94" s="56" t="str">
        <f>IF($D94="","",BQ94-VLOOKUP($D94,$B$4:$BS$990,68,FALSE))</f>
        <v/>
      </c>
      <c r="CJ94" s="56" t="str">
        <f>IF($D94="","",BR94-VLOOKUP($D94,$B$4:$BS$990,69,FALSE))</f>
        <v/>
      </c>
      <c r="CK94" s="78" t="str">
        <f>IF($D94="","",BS94-VLOOKUP($D94,$B$4:$BS$990,70,FALSE))</f>
        <v/>
      </c>
      <c r="CL94" s="1"/>
    </row>
    <row r="95" spans="1:90" x14ac:dyDescent="0.25">
      <c r="A95" s="158">
        <v>0</v>
      </c>
      <c r="B95" s="10"/>
      <c r="C95" s="10">
        <v>1</v>
      </c>
      <c r="D95" s="76"/>
      <c r="E95" s="79" t="s">
        <v>119</v>
      </c>
      <c r="F95" s="80"/>
      <c r="G95" s="7" t="s">
        <v>119</v>
      </c>
      <c r="H95" s="7" t="s">
        <v>119</v>
      </c>
      <c r="I95" s="7" t="s">
        <v>119</v>
      </c>
      <c r="J95" s="7" t="s">
        <v>119</v>
      </c>
      <c r="K95" s="7"/>
      <c r="L95" s="7"/>
      <c r="M95" s="7"/>
      <c r="N95" s="7"/>
      <c r="O95" s="79" t="s">
        <v>119</v>
      </c>
      <c r="P95" s="7" t="s">
        <v>119</v>
      </c>
      <c r="Q95" s="7" t="s">
        <v>119</v>
      </c>
      <c r="R95" s="7"/>
      <c r="S95" s="7"/>
      <c r="T95" s="80"/>
      <c r="U95" s="6" t="s">
        <v>119</v>
      </c>
      <c r="V95" s="6" t="s">
        <v>119</v>
      </c>
      <c r="W95" s="90" t="str">
        <f>IF(ISERR(X95*$AC$1/375),"",(X95*$AC$1/375))</f>
        <v/>
      </c>
      <c r="X95" s="15" t="str">
        <f>IF(ISERR(((($AC$1)^2)*0.002558)*E95*$F$1),"",(((($AC$1)^2)*0.002558)*E95*$F$1))</f>
        <v/>
      </c>
      <c r="Y95" s="15"/>
      <c r="Z95" s="91"/>
      <c r="AA95" s="90" t="str">
        <f t="shared" ref="AA95:AD98" si="95">IF(ISERR(((($AC$1)^2)*0.002558)*G95*$F$1),"",(((($AC$1)^2)*0.002558)*G95*$F$1))</f>
        <v/>
      </c>
      <c r="AB95" s="15" t="str">
        <f t="shared" si="95"/>
        <v/>
      </c>
      <c r="AC95" s="15" t="str">
        <f t="shared" si="95"/>
        <v/>
      </c>
      <c r="AD95" s="15" t="str">
        <f t="shared" si="95"/>
        <v/>
      </c>
      <c r="AE95" s="132"/>
      <c r="AF95" s="132"/>
      <c r="AG95" s="132"/>
      <c r="AH95" s="133"/>
      <c r="AI95" s="96" t="str">
        <f>IF(ISERR(AA95/X95),"",(AA95/X95))</f>
        <v/>
      </c>
      <c r="AJ95" s="36" t="str">
        <f>IF(ISERR(AB95/AA95),"",(AB95/AA95))</f>
        <v/>
      </c>
      <c r="AK95" s="139" t="str">
        <f>IF((ISERROR((Coeff!AB95+TestInfoPage!$B$6)/(Coeff!AA95+TestInfoPage!$B$5))),"",((Coeff!AB95+TestInfoPage!$B$6)/(Coeff!AA95+TestInfoPage!$B$5)))</f>
        <v/>
      </c>
      <c r="AL95" s="96"/>
      <c r="AM95" s="36"/>
      <c r="AN95" s="142"/>
      <c r="AO95" s="79" t="str">
        <f t="shared" si="65"/>
        <v/>
      </c>
      <c r="AP95" s="4" t="s">
        <v>119</v>
      </c>
      <c r="AQ95" s="4" t="s">
        <v>119</v>
      </c>
      <c r="AR95" s="4" t="s">
        <v>119</v>
      </c>
      <c r="AS95" s="4" t="s">
        <v>119</v>
      </c>
      <c r="AT95" s="128"/>
      <c r="AU95" s="128"/>
      <c r="AV95" s="128"/>
      <c r="AW95" s="129"/>
      <c r="AX95" s="81" t="s">
        <v>119</v>
      </c>
      <c r="AY95" s="4" t="s">
        <v>119</v>
      </c>
      <c r="AZ95" s="15"/>
      <c r="BA95" s="91"/>
      <c r="BB95" s="162" t="s">
        <v>119</v>
      </c>
      <c r="BC95" s="128" t="s">
        <v>119</v>
      </c>
      <c r="BD95" s="128" t="s">
        <v>119</v>
      </c>
      <c r="BE95" s="128" t="s">
        <v>119</v>
      </c>
      <c r="BF95" s="128" t="s">
        <v>119</v>
      </c>
      <c r="BG95" s="128" t="s">
        <v>119</v>
      </c>
      <c r="BH95" s="128" t="s">
        <v>119</v>
      </c>
      <c r="BI95" s="128" t="s">
        <v>119</v>
      </c>
      <c r="BJ95" s="128" t="s">
        <v>119</v>
      </c>
      <c r="BK95" s="128" t="s">
        <v>119</v>
      </c>
      <c r="BL95" s="128" t="s">
        <v>119</v>
      </c>
      <c r="BM95" s="128" t="s">
        <v>119</v>
      </c>
      <c r="BN95" s="128" t="s">
        <v>119</v>
      </c>
      <c r="BO95" s="128" t="s">
        <v>119</v>
      </c>
      <c r="BP95" s="128" t="s">
        <v>119</v>
      </c>
      <c r="BQ95" s="128" t="s">
        <v>119</v>
      </c>
      <c r="BR95" s="128" t="s">
        <v>119</v>
      </c>
      <c r="BS95" s="129" t="s">
        <v>119</v>
      </c>
      <c r="BT95" s="107"/>
      <c r="BU95" s="100"/>
      <c r="BV95" s="100"/>
      <c r="BW95" s="100"/>
      <c r="BX95" s="100"/>
      <c r="BY95" s="100"/>
      <c r="BZ95" s="100"/>
      <c r="CA95" s="100"/>
      <c r="CB95" s="100"/>
      <c r="CC95" s="100"/>
      <c r="CD95" s="100"/>
      <c r="CE95" s="100"/>
      <c r="CF95" s="100"/>
      <c r="CG95" s="100"/>
      <c r="CH95" s="100"/>
      <c r="CI95" s="100"/>
      <c r="CJ95" s="100"/>
      <c r="CK95" s="108"/>
      <c r="CL95" s="1"/>
    </row>
    <row r="96" spans="1:90" x14ac:dyDescent="0.25">
      <c r="A96" s="158">
        <v>0</v>
      </c>
      <c r="B96" s="10"/>
      <c r="C96" s="10">
        <v>2</v>
      </c>
      <c r="D96" s="76"/>
      <c r="E96" s="81" t="s">
        <v>119</v>
      </c>
      <c r="F96" s="80"/>
      <c r="G96" s="4" t="s">
        <v>119</v>
      </c>
      <c r="H96" s="4" t="s">
        <v>119</v>
      </c>
      <c r="I96" s="4" t="s">
        <v>119</v>
      </c>
      <c r="J96" s="4" t="s">
        <v>119</v>
      </c>
      <c r="K96" s="7"/>
      <c r="L96" s="7"/>
      <c r="M96" s="7"/>
      <c r="N96" s="7"/>
      <c r="O96" s="81" t="s">
        <v>119</v>
      </c>
      <c r="P96" s="4" t="s">
        <v>119</v>
      </c>
      <c r="Q96" s="4" t="s">
        <v>119</v>
      </c>
      <c r="R96" s="7"/>
      <c r="S96" s="7"/>
      <c r="T96" s="80"/>
      <c r="U96" s="6" t="s">
        <v>119</v>
      </c>
      <c r="V96" s="6" t="s">
        <v>119</v>
      </c>
      <c r="W96" s="90" t="str">
        <f>IF(ISERR(X96*$AC$1/375),"",(X96*$AC$1/375))</f>
        <v/>
      </c>
      <c r="X96" s="15" t="str">
        <f>IF(ISERR(((($AC$1)^2)*0.002558)*E96*$F$1),"",(((($AC$1)^2)*0.002558)*E96*$F$1))</f>
        <v/>
      </c>
      <c r="Y96" s="15"/>
      <c r="Z96" s="91"/>
      <c r="AA96" s="90" t="str">
        <f t="shared" si="95"/>
        <v/>
      </c>
      <c r="AB96" s="15" t="str">
        <f t="shared" si="95"/>
        <v/>
      </c>
      <c r="AC96" s="15" t="str">
        <f t="shared" si="95"/>
        <v/>
      </c>
      <c r="AD96" s="15" t="str">
        <f t="shared" si="95"/>
        <v/>
      </c>
      <c r="AE96" s="15"/>
      <c r="AF96" s="15"/>
      <c r="AG96" s="15"/>
      <c r="AH96" s="91"/>
      <c r="AI96" s="96" t="str">
        <f>IF(ISERR(AA96/X96),"",(AA96/X96))</f>
        <v/>
      </c>
      <c r="AJ96" s="97" t="str">
        <f>IF(ISERR(AB96/AA96),"",(AB96/AA96))</f>
        <v/>
      </c>
      <c r="AK96" s="139" t="str">
        <f>IF((ISERROR((Coeff!AB96+TestInfoPage!$B$6)/(Coeff!AA96+TestInfoPage!$B$5))),"",((Coeff!AB96+TestInfoPage!$B$6)/(Coeff!AA96+TestInfoPage!$B$5)))</f>
        <v/>
      </c>
      <c r="AL96" s="96"/>
      <c r="AM96" s="36"/>
      <c r="AN96" s="142"/>
      <c r="AO96" s="79" t="str">
        <f t="shared" si="65"/>
        <v/>
      </c>
      <c r="AP96" s="4" t="s">
        <v>119</v>
      </c>
      <c r="AQ96" s="4" t="s">
        <v>119</v>
      </c>
      <c r="AR96" s="4" t="s">
        <v>119</v>
      </c>
      <c r="AS96" s="4" t="s">
        <v>119</v>
      </c>
      <c r="AT96" s="7"/>
      <c r="AU96" s="7"/>
      <c r="AV96" s="7"/>
      <c r="AW96" s="80"/>
      <c r="AX96" s="81" t="s">
        <v>119</v>
      </c>
      <c r="AY96" s="4" t="s">
        <v>119</v>
      </c>
      <c r="AZ96" s="15"/>
      <c r="BA96" s="91"/>
      <c r="BB96" s="79" t="s">
        <v>119</v>
      </c>
      <c r="BC96" s="7" t="s">
        <v>119</v>
      </c>
      <c r="BD96" s="7" t="s">
        <v>119</v>
      </c>
      <c r="BE96" s="7" t="s">
        <v>119</v>
      </c>
      <c r="BF96" s="7" t="s">
        <v>119</v>
      </c>
      <c r="BG96" s="7" t="s">
        <v>119</v>
      </c>
      <c r="BH96" s="7" t="s">
        <v>119</v>
      </c>
      <c r="BI96" s="7" t="s">
        <v>119</v>
      </c>
      <c r="BJ96" s="7" t="s">
        <v>119</v>
      </c>
      <c r="BK96" s="7" t="s">
        <v>119</v>
      </c>
      <c r="BL96" s="7" t="s">
        <v>119</v>
      </c>
      <c r="BM96" s="7" t="s">
        <v>119</v>
      </c>
      <c r="BN96" s="7" t="s">
        <v>119</v>
      </c>
      <c r="BO96" s="7" t="s">
        <v>119</v>
      </c>
      <c r="BP96" s="7" t="s">
        <v>119</v>
      </c>
      <c r="BQ96" s="7" t="s">
        <v>119</v>
      </c>
      <c r="BR96" s="7" t="s">
        <v>119</v>
      </c>
      <c r="BS96" s="80" t="s">
        <v>119</v>
      </c>
      <c r="BT96" s="107"/>
      <c r="BU96" s="100"/>
      <c r="BV96" s="100"/>
      <c r="BW96" s="100"/>
      <c r="BX96" s="100"/>
      <c r="BY96" s="100"/>
      <c r="BZ96" s="100"/>
      <c r="CA96" s="100"/>
      <c r="CB96" s="100"/>
      <c r="CC96" s="100"/>
      <c r="CD96" s="100"/>
      <c r="CE96" s="100"/>
      <c r="CF96" s="100"/>
      <c r="CG96" s="100"/>
      <c r="CH96" s="100"/>
      <c r="CI96" s="100"/>
      <c r="CJ96" s="100"/>
      <c r="CK96" s="108"/>
      <c r="CL96" s="1"/>
    </row>
    <row r="97" spans="1:90" ht="13.5" customHeight="1" x14ac:dyDescent="0.25">
      <c r="A97" s="158">
        <v>0</v>
      </c>
      <c r="B97" s="10"/>
      <c r="C97" s="10">
        <v>3</v>
      </c>
      <c r="D97" s="76"/>
      <c r="E97" s="81" t="s">
        <v>119</v>
      </c>
      <c r="F97" s="80"/>
      <c r="G97" s="4" t="s">
        <v>119</v>
      </c>
      <c r="H97" s="4" t="s">
        <v>119</v>
      </c>
      <c r="I97" s="4" t="s">
        <v>119</v>
      </c>
      <c r="J97" s="4" t="s">
        <v>119</v>
      </c>
      <c r="K97" s="7"/>
      <c r="L97" s="7"/>
      <c r="M97" s="7"/>
      <c r="N97" s="7"/>
      <c r="O97" s="81" t="s">
        <v>119</v>
      </c>
      <c r="P97" s="4" t="s">
        <v>119</v>
      </c>
      <c r="Q97" s="4" t="s">
        <v>119</v>
      </c>
      <c r="R97" s="7"/>
      <c r="S97" s="7"/>
      <c r="T97" s="80"/>
      <c r="U97" s="6" t="s">
        <v>119</v>
      </c>
      <c r="V97" s="6" t="s">
        <v>119</v>
      </c>
      <c r="W97" s="90" t="str">
        <f>IF(ISERR(X97*$AC$1/375),"",(X97*$AC$1/375))</f>
        <v/>
      </c>
      <c r="X97" s="15" t="str">
        <f>IF(ISERR(((($AC$1)^2)*0.002558)*E97*$F$1),"",(((($AC$1)^2)*0.002558)*E97*$F$1))</f>
        <v/>
      </c>
      <c r="Y97" s="15"/>
      <c r="Z97" s="91"/>
      <c r="AA97" s="90" t="str">
        <f t="shared" si="95"/>
        <v/>
      </c>
      <c r="AB97" s="15" t="str">
        <f t="shared" si="95"/>
        <v/>
      </c>
      <c r="AC97" s="15" t="str">
        <f t="shared" si="95"/>
        <v/>
      </c>
      <c r="AD97" s="15" t="str">
        <f t="shared" si="95"/>
        <v/>
      </c>
      <c r="AE97" s="15"/>
      <c r="AF97" s="15"/>
      <c r="AG97" s="15"/>
      <c r="AH97" s="91"/>
      <c r="AI97" s="96" t="str">
        <f>IF(ISERR(AA97/X97),"",(AA97/X97))</f>
        <v/>
      </c>
      <c r="AJ97" s="97" t="str">
        <f>IF(ISERR(AB97/AA97),"",(AB97/AA97))</f>
        <v/>
      </c>
      <c r="AK97" s="139" t="str">
        <f>IF((ISERROR((Coeff!AB97+TestInfoPage!$B$6)/(Coeff!AA97+TestInfoPage!$B$5))),"",((Coeff!AB97+TestInfoPage!$B$6)/(Coeff!AA97+TestInfoPage!$B$5)))</f>
        <v/>
      </c>
      <c r="AL97" s="96"/>
      <c r="AM97" s="36"/>
      <c r="AN97" s="142"/>
      <c r="AO97" s="79" t="str">
        <f t="shared" si="65"/>
        <v/>
      </c>
      <c r="AP97" s="4" t="s">
        <v>119</v>
      </c>
      <c r="AQ97" s="4" t="s">
        <v>119</v>
      </c>
      <c r="AR97" s="4" t="s">
        <v>119</v>
      </c>
      <c r="AS97" s="4" t="s">
        <v>119</v>
      </c>
      <c r="AT97" s="7"/>
      <c r="AU97" s="7"/>
      <c r="AV97" s="7"/>
      <c r="AW97" s="80"/>
      <c r="AX97" s="81" t="s">
        <v>119</v>
      </c>
      <c r="AY97" s="4" t="s">
        <v>119</v>
      </c>
      <c r="AZ97" s="15"/>
      <c r="BA97" s="91"/>
      <c r="BB97" s="79" t="s">
        <v>119</v>
      </c>
      <c r="BC97" s="7" t="s">
        <v>119</v>
      </c>
      <c r="BD97" s="7" t="s">
        <v>119</v>
      </c>
      <c r="BE97" s="7" t="s">
        <v>119</v>
      </c>
      <c r="BF97" s="7" t="s">
        <v>119</v>
      </c>
      <c r="BG97" s="7" t="s">
        <v>119</v>
      </c>
      <c r="BH97" s="7" t="s">
        <v>119</v>
      </c>
      <c r="BI97" s="7" t="s">
        <v>119</v>
      </c>
      <c r="BJ97" s="7" t="s">
        <v>119</v>
      </c>
      <c r="BK97" s="7" t="s">
        <v>119</v>
      </c>
      <c r="BL97" s="7" t="s">
        <v>119</v>
      </c>
      <c r="BM97" s="7" t="s">
        <v>119</v>
      </c>
      <c r="BN97" s="7" t="s">
        <v>119</v>
      </c>
      <c r="BO97" s="7" t="s">
        <v>119</v>
      </c>
      <c r="BP97" s="7" t="s">
        <v>119</v>
      </c>
      <c r="BQ97" s="7" t="s">
        <v>119</v>
      </c>
      <c r="BR97" s="7" t="s">
        <v>119</v>
      </c>
      <c r="BS97" s="80" t="s">
        <v>119</v>
      </c>
      <c r="BT97" s="107"/>
      <c r="BU97" s="100"/>
      <c r="BV97" s="100"/>
      <c r="BW97" s="100"/>
      <c r="BX97" s="100"/>
      <c r="BY97" s="100"/>
      <c r="BZ97" s="100"/>
      <c r="CA97" s="100"/>
      <c r="CB97" s="100"/>
      <c r="CC97" s="100"/>
      <c r="CD97" s="100"/>
      <c r="CE97" s="100"/>
      <c r="CF97" s="100"/>
      <c r="CG97" s="100"/>
      <c r="CH97" s="100"/>
      <c r="CI97" s="100"/>
      <c r="CJ97" s="100"/>
      <c r="CK97" s="108"/>
      <c r="CL97" s="1"/>
    </row>
    <row r="98" spans="1:90" ht="13.5" customHeight="1" thickBot="1" x14ac:dyDescent="0.3">
      <c r="A98" s="158">
        <v>0</v>
      </c>
      <c r="B98" s="10"/>
      <c r="C98" s="10">
        <v>4</v>
      </c>
      <c r="D98" s="76"/>
      <c r="E98" s="81" t="s">
        <v>119</v>
      </c>
      <c r="F98" s="80"/>
      <c r="G98" s="4" t="s">
        <v>119</v>
      </c>
      <c r="H98" s="4" t="s">
        <v>119</v>
      </c>
      <c r="I98" s="4" t="s">
        <v>119</v>
      </c>
      <c r="J98" s="4" t="s">
        <v>119</v>
      </c>
      <c r="K98" s="7"/>
      <c r="L98" s="7"/>
      <c r="M98" s="7"/>
      <c r="N98" s="7"/>
      <c r="O98" s="81" t="s">
        <v>119</v>
      </c>
      <c r="P98" s="4" t="s">
        <v>119</v>
      </c>
      <c r="Q98" s="4" t="s">
        <v>119</v>
      </c>
      <c r="R98" s="7"/>
      <c r="S98" s="7"/>
      <c r="T98" s="84"/>
      <c r="U98" s="6" t="s">
        <v>119</v>
      </c>
      <c r="V98" s="6" t="s">
        <v>119</v>
      </c>
      <c r="W98" s="90" t="str">
        <f>IF(ISERR(X98*$AC$1/375),"",(X98*$AC$1/375))</f>
        <v/>
      </c>
      <c r="X98" s="15" t="str">
        <f>IF(ISERR(((($AC$1)^2)*0.002558)*E98*$F$1),"",(((($AC$1)^2)*0.002558)*E98*$F$1))</f>
        <v/>
      </c>
      <c r="Y98" s="15"/>
      <c r="Z98" s="91"/>
      <c r="AA98" s="90" t="str">
        <f t="shared" si="95"/>
        <v/>
      </c>
      <c r="AB98" s="15" t="str">
        <f t="shared" si="95"/>
        <v/>
      </c>
      <c r="AC98" s="15" t="str">
        <f t="shared" si="95"/>
        <v/>
      </c>
      <c r="AD98" s="15" t="str">
        <f t="shared" si="95"/>
        <v/>
      </c>
      <c r="AE98" s="15"/>
      <c r="AF98" s="15"/>
      <c r="AG98" s="15"/>
      <c r="AH98" s="91"/>
      <c r="AI98" s="96" t="str">
        <f>IF(ISERR(AA98/X98),"",(AA98/X98))</f>
        <v/>
      </c>
      <c r="AJ98" s="97" t="str">
        <f>IF(ISERR(AB98/AA98),"",(AB98/AA98))</f>
        <v/>
      </c>
      <c r="AK98" s="139" t="str">
        <f>IF((ISERROR((Coeff!AB98+TestInfoPage!$B$6)/(Coeff!AA98+TestInfoPage!$B$5))),"",((Coeff!AB98+TestInfoPage!$B$6)/(Coeff!AA98+TestInfoPage!$B$5)))</f>
        <v/>
      </c>
      <c r="AL98" s="96"/>
      <c r="AM98" s="36"/>
      <c r="AN98" s="142"/>
      <c r="AO98" s="79" t="str">
        <f t="shared" si="65"/>
        <v/>
      </c>
      <c r="AP98" s="4" t="s">
        <v>119</v>
      </c>
      <c r="AQ98" s="4" t="s">
        <v>119</v>
      </c>
      <c r="AR98" s="4" t="s">
        <v>119</v>
      </c>
      <c r="AS98" s="4" t="s">
        <v>119</v>
      </c>
      <c r="AT98" s="7"/>
      <c r="AU98" s="7"/>
      <c r="AV98" s="7"/>
      <c r="AW98" s="80"/>
      <c r="AX98" s="81" t="s">
        <v>119</v>
      </c>
      <c r="AY98" s="4" t="s">
        <v>119</v>
      </c>
      <c r="AZ98" s="15"/>
      <c r="BA98" s="91"/>
      <c r="BB98" s="163" t="s">
        <v>119</v>
      </c>
      <c r="BC98" s="157" t="s">
        <v>119</v>
      </c>
      <c r="BD98" s="157" t="s">
        <v>119</v>
      </c>
      <c r="BE98" s="157" t="s">
        <v>119</v>
      </c>
      <c r="BF98" s="157" t="s">
        <v>119</v>
      </c>
      <c r="BG98" s="157" t="s">
        <v>119</v>
      </c>
      <c r="BH98" s="157" t="s">
        <v>119</v>
      </c>
      <c r="BI98" s="157" t="s">
        <v>119</v>
      </c>
      <c r="BJ98" s="157" t="s">
        <v>119</v>
      </c>
      <c r="BK98" s="157" t="s">
        <v>119</v>
      </c>
      <c r="BL98" s="157" t="s">
        <v>119</v>
      </c>
      <c r="BM98" s="157" t="s">
        <v>119</v>
      </c>
      <c r="BN98" s="157" t="s">
        <v>119</v>
      </c>
      <c r="BO98" s="157" t="s">
        <v>119</v>
      </c>
      <c r="BP98" s="157" t="s">
        <v>119</v>
      </c>
      <c r="BQ98" s="157" t="s">
        <v>119</v>
      </c>
      <c r="BR98" s="157" t="s">
        <v>119</v>
      </c>
      <c r="BS98" s="84" t="s">
        <v>119</v>
      </c>
      <c r="BT98" s="107"/>
      <c r="BU98" s="100"/>
      <c r="BV98" s="100"/>
      <c r="BW98" s="100"/>
      <c r="BX98" s="100"/>
      <c r="BY98" s="100"/>
      <c r="BZ98" s="100"/>
      <c r="CA98" s="100"/>
      <c r="CB98" s="100"/>
      <c r="CC98" s="100"/>
      <c r="CD98" s="100"/>
      <c r="CE98" s="100"/>
      <c r="CF98" s="100"/>
      <c r="CG98" s="100"/>
      <c r="CH98" s="100"/>
      <c r="CI98" s="100"/>
      <c r="CJ98" s="100"/>
      <c r="CK98" s="108"/>
      <c r="CL98" s="1"/>
    </row>
    <row r="99" spans="1:90" ht="14.25" thickBot="1" x14ac:dyDescent="0.3">
      <c r="A99" s="158">
        <v>0</v>
      </c>
      <c r="B99" s="9">
        <f>B94+1</f>
        <v>20</v>
      </c>
      <c r="C99" s="66" t="s">
        <v>56</v>
      </c>
      <c r="D99" s="75"/>
      <c r="E99" s="82" t="str">
        <f>IF(ISERR(AVERAGE(E100:E103)),"",AVERAGE(E100:E103))</f>
        <v/>
      </c>
      <c r="F99" s="78" t="str">
        <f>IF($D99="","",E99-VLOOKUP($D99,$B$4:$BS$990,4,FALSE))</f>
        <v/>
      </c>
      <c r="G99" s="44" t="str">
        <f t="shared" ref="G99:Q99" si="96">IF(ISERR(AVERAGE(G100:G103)),"",AVERAGE(G100:G103))</f>
        <v/>
      </c>
      <c r="H99" s="8" t="str">
        <f t="shared" si="96"/>
        <v/>
      </c>
      <c r="I99" s="8" t="str">
        <f t="shared" si="96"/>
        <v/>
      </c>
      <c r="J99" s="44" t="str">
        <f>IF(ISERR(AVERAGE(J100:J103)),"",AVERAGE(J100:J103))</f>
        <v/>
      </c>
      <c r="K99" s="56" t="str">
        <f>IF($D99="","",G99-VLOOKUP($D99,$B$4:$BS$990,6,FALSE))</f>
        <v/>
      </c>
      <c r="L99" s="56" t="str">
        <f>IF($D99="","",H99-VLOOKUP($D99,$B$4:$BS$990,7,FALSE))</f>
        <v/>
      </c>
      <c r="M99" s="56" t="str">
        <f>IF($D99="","",I99-VLOOKUP($D99,$B$4:$BS$990,8,FALSE))</f>
        <v/>
      </c>
      <c r="N99" s="74" t="str">
        <f>IF($D99="","",J99-VLOOKUP($D99,$B$4:$BS$990,9,FALSE))</f>
        <v/>
      </c>
      <c r="O99" s="82" t="str">
        <f t="shared" si="96"/>
        <v/>
      </c>
      <c r="P99" s="8" t="str">
        <f t="shared" si="96"/>
        <v/>
      </c>
      <c r="Q99" s="8" t="str">
        <f t="shared" si="96"/>
        <v/>
      </c>
      <c r="R99" s="56" t="str">
        <f>IF($D99="","",O99-VLOOKUP($D99,$B$4:$BS$990,14,FALSE))</f>
        <v/>
      </c>
      <c r="S99" s="56" t="str">
        <f>IF($D99="","",P99-VLOOKUP($D99,$B$4:$BS$990,15,FALSE))</f>
        <v/>
      </c>
      <c r="T99" s="78" t="str">
        <f>IF($D99="","",Q99-VLOOKUP($D99,$B$4:$BS$990,16,FALSE))</f>
        <v/>
      </c>
      <c r="U99" s="44" t="str">
        <f t="shared" ref="U99:AS99" si="97">IF(ISERR(AVERAGE(U100:U103)),"",AVERAGE(U100:U103))</f>
        <v/>
      </c>
      <c r="V99" s="11" t="str">
        <f t="shared" si="97"/>
        <v/>
      </c>
      <c r="W99" s="88" t="str">
        <f t="shared" si="97"/>
        <v/>
      </c>
      <c r="X99" s="32" t="str">
        <f t="shared" si="97"/>
        <v/>
      </c>
      <c r="Y99" s="71" t="str">
        <f>IF($D99="","",W99-VLOOKUP($D99,$B$4:$BS$990,22,FALSE))</f>
        <v/>
      </c>
      <c r="Z99" s="89" t="str">
        <f>IF($D99="","",X99-VLOOKUP($D99,$B$4:$BS$990,23,FALSE))</f>
        <v/>
      </c>
      <c r="AA99" s="88" t="str">
        <f t="shared" si="97"/>
        <v/>
      </c>
      <c r="AB99" s="31" t="str">
        <f t="shared" si="97"/>
        <v/>
      </c>
      <c r="AC99" s="31" t="str">
        <f t="shared" si="97"/>
        <v/>
      </c>
      <c r="AD99" s="32" t="str">
        <f>IF(ISERR(AVERAGE(AD100:AD103)),"",AVERAGE(AD100:AD103))</f>
        <v/>
      </c>
      <c r="AE99" s="71" t="str">
        <f>IF($D99="","",AA99-VLOOKUP($D99,$B$4:$BS$990,26,FALSE))</f>
        <v/>
      </c>
      <c r="AF99" s="71" t="str">
        <f>IF($D99="","",AB99-VLOOKUP($D99,$B$4:$BS$990,27,FALSE))</f>
        <v/>
      </c>
      <c r="AG99" s="92" t="str">
        <f>IF($D99="","",AC99-VLOOKUP($D99,$B$4:$BS$990,28,FALSE))</f>
        <v/>
      </c>
      <c r="AH99" s="89" t="str">
        <f>IF($D99="","",AD99-VLOOKUP($D99,$B$4:$BS$990,29,FALSE))</f>
        <v/>
      </c>
      <c r="AI99" s="95" t="str">
        <f t="shared" si="97"/>
        <v/>
      </c>
      <c r="AJ99" s="35" t="str">
        <f t="shared" si="97"/>
        <v/>
      </c>
      <c r="AK99" s="138" t="str">
        <f>IF((ISERROR((Coeff!AB99+TestInfoPage!$B$6)/(Coeff!AA99+TestInfoPage!$B$5))),"",((Coeff!AB99+TestInfoPage!$B$6)/(Coeff!AA99+TestInfoPage!$B$5)))</f>
        <v/>
      </c>
      <c r="AL99" s="135" t="str">
        <f>IF($D99="","",AI99-VLOOKUP($D99,$B$4:$BS$990,34,FALSE))</f>
        <v/>
      </c>
      <c r="AM99" s="72" t="str">
        <f>IF($D99="","",AJ99-VLOOKUP($D99,$B$4:$BS$990,35,FALSE))</f>
        <v/>
      </c>
      <c r="AN99" s="115" t="str">
        <f>IF($D99="","",AK99-VLOOKUP($D99,$B$4:$BS$990,36,FALSE))</f>
        <v/>
      </c>
      <c r="AO99" s="134" t="str">
        <f t="shared" si="65"/>
        <v/>
      </c>
      <c r="AP99" s="44" t="str">
        <f t="shared" si="97"/>
        <v/>
      </c>
      <c r="AQ99" s="8" t="str">
        <f t="shared" si="97"/>
        <v/>
      </c>
      <c r="AR99" s="11" t="str">
        <f t="shared" si="97"/>
        <v/>
      </c>
      <c r="AS99" s="11" t="str">
        <f t="shared" si="97"/>
        <v/>
      </c>
      <c r="AT99" s="56" t="str">
        <f>IF(ISERR(AP99-VLOOKUP($D99,$B$4:$BS$990,41,FALSE)),"",(AP99-VLOOKUP($D99,$B$4:$BS$990,41,FALSE)))</f>
        <v/>
      </c>
      <c r="AU99" s="56" t="str">
        <f>IF(ISERR(AQ99-VLOOKUP($D99,$B$4:$BS$990,42,FALSE)),"",(AQ99-VLOOKUP($D99,$B$4:$BS$990,42,FALSE)))</f>
        <v/>
      </c>
      <c r="AV99" s="74" t="str">
        <f>IF(ISERR(AR99-VLOOKUP($D99,$B$4:$BS$990,43,FALSE)),"",AR99-VLOOKUP($D99,$B$4:$BS$990,43,FALSE))</f>
        <v/>
      </c>
      <c r="AW99" s="74" t="str">
        <f>IF(ISERR(AS99-VLOOKUP($D99,$B$4:$BS$990,44,FALSE)),"",AS99-VLOOKUP($D99,$B$4:$BS$990,44,FALSE))</f>
        <v/>
      </c>
      <c r="AX99" s="82" t="str">
        <f t="shared" ref="AX99:AY99" si="98">IF(ISERR(AVERAGE(AX100:AX103)),"",AVERAGE(AX100:AX103))</f>
        <v/>
      </c>
      <c r="AY99" s="11" t="str">
        <f t="shared" si="98"/>
        <v/>
      </c>
      <c r="AZ99" s="89" t="str">
        <f>IF(ISERR(AX99-VLOOKUP($D99,$B$4:$BS$990,49,FALSE)),"",(AX99-VLOOKUP($D99,$B$4:$BS$990,49,FALSE)))</f>
        <v/>
      </c>
      <c r="BA99" s="89" t="str">
        <f>IF(ISERR(AY99-VLOOKUP($D99,$B$4:$BS$990,50,FALSE)),"",(AY99-VLOOKUP($D99,$B$4:$BS$990,50,FALSE)))</f>
        <v/>
      </c>
      <c r="BB99" s="82" t="str">
        <f t="shared" ref="BB99:BS99" si="99">IF(ISERR(AVERAGE(BB100:BB103)),"",AVERAGE(BB100:BB103))</f>
        <v/>
      </c>
      <c r="BC99" s="8" t="str">
        <f t="shared" si="99"/>
        <v/>
      </c>
      <c r="BD99" s="8" t="str">
        <f t="shared" si="99"/>
        <v/>
      </c>
      <c r="BE99" s="8" t="str">
        <f t="shared" si="99"/>
        <v/>
      </c>
      <c r="BF99" s="8" t="str">
        <f t="shared" si="99"/>
        <v/>
      </c>
      <c r="BG99" s="8" t="str">
        <f t="shared" si="99"/>
        <v/>
      </c>
      <c r="BH99" s="8" t="str">
        <f t="shared" si="99"/>
        <v/>
      </c>
      <c r="BI99" s="8" t="str">
        <f t="shared" si="99"/>
        <v/>
      </c>
      <c r="BJ99" s="8" t="str">
        <f t="shared" si="99"/>
        <v/>
      </c>
      <c r="BK99" s="8" t="str">
        <f t="shared" si="99"/>
        <v/>
      </c>
      <c r="BL99" s="8" t="str">
        <f t="shared" si="99"/>
        <v/>
      </c>
      <c r="BM99" s="8" t="str">
        <f t="shared" si="99"/>
        <v/>
      </c>
      <c r="BN99" s="8" t="str">
        <f t="shared" si="99"/>
        <v/>
      </c>
      <c r="BO99" s="8" t="str">
        <f t="shared" si="99"/>
        <v/>
      </c>
      <c r="BP99" s="8" t="str">
        <f t="shared" si="99"/>
        <v/>
      </c>
      <c r="BQ99" s="8" t="str">
        <f t="shared" si="99"/>
        <v/>
      </c>
      <c r="BR99" s="8" t="str">
        <f t="shared" si="99"/>
        <v/>
      </c>
      <c r="BS99" s="103" t="str">
        <f t="shared" si="99"/>
        <v/>
      </c>
      <c r="BT99" s="106" t="str">
        <f>IF($D99="","",BB99-VLOOKUP($D99,$B$4:$BS$990,53,FALSE))</f>
        <v/>
      </c>
      <c r="BU99" s="56" t="str">
        <f>IF($D99="","",BC99-VLOOKUP($D99,$B$4:$BS$990,54,FALSE))</f>
        <v/>
      </c>
      <c r="BV99" s="56" t="str">
        <f>IF($D99="","",BD99-VLOOKUP($D99,$B$4:$BS$990,55,FALSE))</f>
        <v/>
      </c>
      <c r="BW99" s="56" t="str">
        <f>IF($D99="","",BE99-VLOOKUP($D99,$B$4:$BS$990,56,FALSE))</f>
        <v/>
      </c>
      <c r="BX99" s="56" t="str">
        <f>IF($D99="","",BF99-VLOOKUP($D99,$B$4:$BS$990,57,FALSE))</f>
        <v/>
      </c>
      <c r="BY99" s="56" t="str">
        <f>IF($D99="","",BG99-VLOOKUP($D99,$B$4:$BS$990,58,FALSE))</f>
        <v/>
      </c>
      <c r="BZ99" s="56" t="str">
        <f>IF($D99="","",BH99-VLOOKUP($D99,$B$4:$BS$990,59,FALSE))</f>
        <v/>
      </c>
      <c r="CA99" s="56" t="str">
        <f>IF($D99="","",BI99-VLOOKUP($D99,$B$4:$BS$990,60,FALSE))</f>
        <v/>
      </c>
      <c r="CB99" s="56" t="str">
        <f>IF($D99="","",BJ99-VLOOKUP($D99,$B$4:$BS$990,61,FALSE))</f>
        <v/>
      </c>
      <c r="CC99" s="56" t="str">
        <f>IF($D99="","",BK99-VLOOKUP($D99,$B$4:$BS$990,62,FALSE))</f>
        <v/>
      </c>
      <c r="CD99" s="56" t="str">
        <f>IF($D99="","",BL99-VLOOKUP($D99,$B$4:$BS$990,63,FALSE))</f>
        <v/>
      </c>
      <c r="CE99" s="56" t="str">
        <f>IF($D99="","",BM99-VLOOKUP($D99,$B$4:$BS$990,64,FALSE))</f>
        <v/>
      </c>
      <c r="CF99" s="56" t="str">
        <f>IF($D99="","",BN99-VLOOKUP($D99,$B$4:$BS$990,65,FALSE))</f>
        <v/>
      </c>
      <c r="CG99" s="56" t="str">
        <f>IF($D99="","",BO99-VLOOKUP($D99,$B$4:$BS$990,66,FALSE))</f>
        <v/>
      </c>
      <c r="CH99" s="56" t="str">
        <f>IF($D99="","",BP99-VLOOKUP($D99,$B$4:$BS$990,67,FALSE))</f>
        <v/>
      </c>
      <c r="CI99" s="56" t="str">
        <f>IF($D99="","",BQ99-VLOOKUP($D99,$B$4:$BS$990,68,FALSE))</f>
        <v/>
      </c>
      <c r="CJ99" s="56" t="str">
        <f>IF($D99="","",BR99-VLOOKUP($D99,$B$4:$BS$990,69,FALSE))</f>
        <v/>
      </c>
      <c r="CK99" s="78" t="str">
        <f>IF($D99="","",BS99-VLOOKUP($D99,$B$4:$BS$990,70,FALSE))</f>
        <v/>
      </c>
      <c r="CL99" s="1"/>
    </row>
    <row r="100" spans="1:90" x14ac:dyDescent="0.25">
      <c r="A100" s="158">
        <v>0</v>
      </c>
      <c r="B100" s="10"/>
      <c r="C100" s="10">
        <v>1</v>
      </c>
      <c r="D100" s="76"/>
      <c r="E100" s="79" t="s">
        <v>119</v>
      </c>
      <c r="F100" s="80"/>
      <c r="G100" s="7" t="s">
        <v>119</v>
      </c>
      <c r="H100" s="7" t="s">
        <v>119</v>
      </c>
      <c r="I100" s="7" t="s">
        <v>119</v>
      </c>
      <c r="J100" s="7" t="s">
        <v>119</v>
      </c>
      <c r="K100" s="7"/>
      <c r="L100" s="7"/>
      <c r="M100" s="7"/>
      <c r="N100" s="7"/>
      <c r="O100" s="79" t="s">
        <v>119</v>
      </c>
      <c r="P100" s="7" t="s">
        <v>119</v>
      </c>
      <c r="Q100" s="7" t="s">
        <v>119</v>
      </c>
      <c r="R100" s="7"/>
      <c r="S100" s="7"/>
      <c r="T100" s="80"/>
      <c r="U100" s="6" t="s">
        <v>119</v>
      </c>
      <c r="V100" s="6" t="s">
        <v>119</v>
      </c>
      <c r="W100" s="90" t="str">
        <f>IF(ISERR(X100*$AC$1/375),"",(X100*$AC$1/375))</f>
        <v/>
      </c>
      <c r="X100" s="15" t="str">
        <f>IF(ISERR(((($AC$1)^2)*0.002558)*E100*$F$1),"",(((($AC$1)^2)*0.002558)*E100*$F$1))</f>
        <v/>
      </c>
      <c r="Y100" s="15"/>
      <c r="Z100" s="91"/>
      <c r="AA100" s="90" t="str">
        <f t="shared" ref="AA100:AD103" si="100">IF(ISERR(((($AC$1)^2)*0.002558)*G100*$F$1),"",(((($AC$1)^2)*0.002558)*G100*$F$1))</f>
        <v/>
      </c>
      <c r="AB100" s="15" t="str">
        <f t="shared" si="100"/>
        <v/>
      </c>
      <c r="AC100" s="15" t="str">
        <f t="shared" si="100"/>
        <v/>
      </c>
      <c r="AD100" s="15" t="str">
        <f t="shared" si="100"/>
        <v/>
      </c>
      <c r="AE100" s="15"/>
      <c r="AF100" s="15"/>
      <c r="AG100" s="15"/>
      <c r="AH100" s="91"/>
      <c r="AI100" s="96" t="str">
        <f>IF(ISERR(AA100/X100),"",(AA100/X100))</f>
        <v/>
      </c>
      <c r="AJ100" s="36" t="str">
        <f>IF(ISERR(AB100/AA100),"",(AB100/AA100))</f>
        <v/>
      </c>
      <c r="AK100" s="139" t="str">
        <f>IF((ISERROR((Coeff!AB100+TestInfoPage!$B$6)/(Coeff!AA100+TestInfoPage!$B$5))),"",((Coeff!AB100+TestInfoPage!$B$6)/(Coeff!AA100+TestInfoPage!$B$5)))</f>
        <v/>
      </c>
      <c r="AL100" s="96"/>
      <c r="AM100" s="36"/>
      <c r="AN100" s="142"/>
      <c r="AO100" s="79" t="str">
        <f>IF(ISERR(AVERAGE(AP100:AS100)),"",AVERAGE(AP100:AS100))</f>
        <v/>
      </c>
      <c r="AP100" s="4" t="s">
        <v>119</v>
      </c>
      <c r="AQ100" s="4" t="s">
        <v>119</v>
      </c>
      <c r="AR100" s="4" t="s">
        <v>119</v>
      </c>
      <c r="AS100" s="4" t="s">
        <v>119</v>
      </c>
      <c r="AT100" s="7"/>
      <c r="AU100" s="7"/>
      <c r="AV100" s="7"/>
      <c r="AW100" s="80"/>
      <c r="AX100" s="81" t="s">
        <v>119</v>
      </c>
      <c r="AY100" s="4" t="s">
        <v>119</v>
      </c>
      <c r="AZ100" s="15"/>
      <c r="BA100" s="91"/>
      <c r="BB100" s="162" t="s">
        <v>119</v>
      </c>
      <c r="BC100" s="128" t="s">
        <v>119</v>
      </c>
      <c r="BD100" s="128" t="s">
        <v>119</v>
      </c>
      <c r="BE100" s="128" t="s">
        <v>119</v>
      </c>
      <c r="BF100" s="128" t="s">
        <v>119</v>
      </c>
      <c r="BG100" s="128" t="s">
        <v>119</v>
      </c>
      <c r="BH100" s="128" t="s">
        <v>119</v>
      </c>
      <c r="BI100" s="128" t="s">
        <v>119</v>
      </c>
      <c r="BJ100" s="128" t="s">
        <v>119</v>
      </c>
      <c r="BK100" s="128" t="s">
        <v>119</v>
      </c>
      <c r="BL100" s="128" t="s">
        <v>119</v>
      </c>
      <c r="BM100" s="128" t="s">
        <v>119</v>
      </c>
      <c r="BN100" s="128" t="s">
        <v>119</v>
      </c>
      <c r="BO100" s="128" t="s">
        <v>119</v>
      </c>
      <c r="BP100" s="128" t="s">
        <v>119</v>
      </c>
      <c r="BQ100" s="128" t="s">
        <v>119</v>
      </c>
      <c r="BR100" s="128" t="s">
        <v>119</v>
      </c>
      <c r="BS100" s="129" t="s">
        <v>119</v>
      </c>
      <c r="BT100" s="109"/>
      <c r="BU100" s="101"/>
      <c r="BV100" s="101"/>
      <c r="BW100" s="101"/>
      <c r="BX100" s="101"/>
      <c r="BY100" s="101"/>
      <c r="BZ100" s="101"/>
      <c r="CA100" s="101"/>
      <c r="CB100" s="101"/>
      <c r="CC100" s="101"/>
      <c r="CD100" s="101"/>
      <c r="CE100" s="101"/>
      <c r="CF100" s="101"/>
      <c r="CG100" s="101"/>
      <c r="CH100" s="101"/>
      <c r="CI100" s="101"/>
      <c r="CJ100" s="101"/>
      <c r="CK100" s="110"/>
      <c r="CL100" s="1"/>
    </row>
    <row r="101" spans="1:90" x14ac:dyDescent="0.25">
      <c r="A101" s="158">
        <v>0</v>
      </c>
      <c r="B101" s="10"/>
      <c r="C101" s="10">
        <v>2</v>
      </c>
      <c r="D101" s="76"/>
      <c r="E101" s="81" t="s">
        <v>119</v>
      </c>
      <c r="F101" s="80"/>
      <c r="G101" s="4" t="s">
        <v>119</v>
      </c>
      <c r="H101" s="4" t="s">
        <v>119</v>
      </c>
      <c r="I101" s="4" t="s">
        <v>119</v>
      </c>
      <c r="J101" s="4" t="s">
        <v>119</v>
      </c>
      <c r="K101" s="7"/>
      <c r="L101" s="7"/>
      <c r="M101" s="7"/>
      <c r="N101" s="7"/>
      <c r="O101" s="81" t="s">
        <v>119</v>
      </c>
      <c r="P101" s="4" t="s">
        <v>119</v>
      </c>
      <c r="Q101" s="4" t="s">
        <v>119</v>
      </c>
      <c r="R101" s="7"/>
      <c r="S101" s="7"/>
      <c r="T101" s="80"/>
      <c r="U101" s="6" t="s">
        <v>119</v>
      </c>
      <c r="V101" s="6" t="s">
        <v>119</v>
      </c>
      <c r="W101" s="90" t="str">
        <f>IF(ISERR(X101*$AC$1/375),"",(X101*$AC$1/375))</f>
        <v/>
      </c>
      <c r="X101" s="15" t="str">
        <f>IF(ISERR(((($AC$1)^2)*0.002558)*E101*$F$1),"",(((($AC$1)^2)*0.002558)*E101*$F$1))</f>
        <v/>
      </c>
      <c r="Y101" s="15"/>
      <c r="Z101" s="91"/>
      <c r="AA101" s="90" t="str">
        <f t="shared" si="100"/>
        <v/>
      </c>
      <c r="AB101" s="15" t="str">
        <f t="shared" si="100"/>
        <v/>
      </c>
      <c r="AC101" s="15" t="str">
        <f t="shared" si="100"/>
        <v/>
      </c>
      <c r="AD101" s="15" t="str">
        <f t="shared" si="100"/>
        <v/>
      </c>
      <c r="AE101" s="15"/>
      <c r="AF101" s="15"/>
      <c r="AG101" s="15"/>
      <c r="AH101" s="91"/>
      <c r="AI101" s="96" t="str">
        <f>IF(ISERR(AA101/X101),"",(AA101/X101))</f>
        <v/>
      </c>
      <c r="AJ101" s="97" t="str">
        <f>IF(ISERR(AB101/AA101),"",(AB101/AA101))</f>
        <v/>
      </c>
      <c r="AK101" s="139" t="str">
        <f>IF((ISERROR((Coeff!AB101+TestInfoPage!$B$6)/(Coeff!AA101+TestInfoPage!$B$5))),"",((Coeff!AB101+TestInfoPage!$B$6)/(Coeff!AA101+TestInfoPage!$B$5)))</f>
        <v/>
      </c>
      <c r="AL101" s="96"/>
      <c r="AM101" s="36"/>
      <c r="AN101" s="142"/>
      <c r="AO101" s="79" t="str">
        <f>IF(ISERR(AVERAGE(AP101:AS101)),"",AVERAGE(AP101:AS101))</f>
        <v/>
      </c>
      <c r="AP101" s="4" t="s">
        <v>119</v>
      </c>
      <c r="AQ101" s="4" t="s">
        <v>119</v>
      </c>
      <c r="AR101" s="4" t="s">
        <v>119</v>
      </c>
      <c r="AS101" s="4" t="s">
        <v>119</v>
      </c>
      <c r="AT101" s="7"/>
      <c r="AU101" s="7"/>
      <c r="AV101" s="7"/>
      <c r="AW101" s="80"/>
      <c r="AX101" s="81" t="s">
        <v>119</v>
      </c>
      <c r="AY101" s="4" t="s">
        <v>119</v>
      </c>
      <c r="AZ101" s="15"/>
      <c r="BA101" s="91"/>
      <c r="BB101" s="79" t="s">
        <v>119</v>
      </c>
      <c r="BC101" s="7" t="s">
        <v>119</v>
      </c>
      <c r="BD101" s="7" t="s">
        <v>119</v>
      </c>
      <c r="BE101" s="7" t="s">
        <v>119</v>
      </c>
      <c r="BF101" s="7" t="s">
        <v>119</v>
      </c>
      <c r="BG101" s="7" t="s">
        <v>119</v>
      </c>
      <c r="BH101" s="7" t="s">
        <v>119</v>
      </c>
      <c r="BI101" s="7" t="s">
        <v>119</v>
      </c>
      <c r="BJ101" s="7" t="s">
        <v>119</v>
      </c>
      <c r="BK101" s="7" t="s">
        <v>119</v>
      </c>
      <c r="BL101" s="7" t="s">
        <v>119</v>
      </c>
      <c r="BM101" s="7" t="s">
        <v>119</v>
      </c>
      <c r="BN101" s="7" t="s">
        <v>119</v>
      </c>
      <c r="BO101" s="7" t="s">
        <v>119</v>
      </c>
      <c r="BP101" s="7" t="s">
        <v>119</v>
      </c>
      <c r="BQ101" s="7" t="s">
        <v>119</v>
      </c>
      <c r="BR101" s="7" t="s">
        <v>119</v>
      </c>
      <c r="BS101" s="80" t="s">
        <v>119</v>
      </c>
      <c r="BT101" s="109"/>
      <c r="BU101" s="101"/>
      <c r="BV101" s="101"/>
      <c r="BW101" s="101"/>
      <c r="BX101" s="101"/>
      <c r="BY101" s="101"/>
      <c r="BZ101" s="101"/>
      <c r="CA101" s="101"/>
      <c r="CB101" s="101"/>
      <c r="CC101" s="101"/>
      <c r="CD101" s="101"/>
      <c r="CE101" s="101"/>
      <c r="CF101" s="101"/>
      <c r="CG101" s="101"/>
      <c r="CH101" s="101"/>
      <c r="CI101" s="101"/>
      <c r="CJ101" s="101"/>
      <c r="CK101" s="110"/>
      <c r="CL101" s="1"/>
    </row>
    <row r="102" spans="1:90" ht="13.5" customHeight="1" x14ac:dyDescent="0.25">
      <c r="A102" s="158">
        <v>0</v>
      </c>
      <c r="B102" s="10"/>
      <c r="C102" s="10">
        <v>3</v>
      </c>
      <c r="D102" s="76"/>
      <c r="E102" s="81" t="s">
        <v>119</v>
      </c>
      <c r="F102" s="80"/>
      <c r="G102" s="4" t="s">
        <v>119</v>
      </c>
      <c r="H102" s="4" t="s">
        <v>119</v>
      </c>
      <c r="I102" s="4" t="s">
        <v>119</v>
      </c>
      <c r="J102" s="4" t="s">
        <v>119</v>
      </c>
      <c r="K102" s="7"/>
      <c r="L102" s="7"/>
      <c r="M102" s="7"/>
      <c r="N102" s="7"/>
      <c r="O102" s="81" t="s">
        <v>119</v>
      </c>
      <c r="P102" s="4" t="s">
        <v>119</v>
      </c>
      <c r="Q102" s="4" t="s">
        <v>119</v>
      </c>
      <c r="R102" s="7"/>
      <c r="S102" s="7"/>
      <c r="T102" s="80"/>
      <c r="U102" s="6" t="s">
        <v>119</v>
      </c>
      <c r="V102" s="6" t="s">
        <v>119</v>
      </c>
      <c r="W102" s="90" t="str">
        <f>IF(ISERR(X102*$AC$1/375),"",(X102*$AC$1/375))</f>
        <v/>
      </c>
      <c r="X102" s="15" t="str">
        <f>IF(ISERR(((($AC$1)^2)*0.002558)*E102*$F$1),"",(((($AC$1)^2)*0.002558)*E102*$F$1))</f>
        <v/>
      </c>
      <c r="Y102" s="15"/>
      <c r="Z102" s="91"/>
      <c r="AA102" s="90" t="str">
        <f t="shared" si="100"/>
        <v/>
      </c>
      <c r="AB102" s="15" t="str">
        <f t="shared" si="100"/>
        <v/>
      </c>
      <c r="AC102" s="15" t="str">
        <f t="shared" si="100"/>
        <v/>
      </c>
      <c r="AD102" s="15" t="str">
        <f t="shared" si="100"/>
        <v/>
      </c>
      <c r="AE102" s="15"/>
      <c r="AF102" s="15"/>
      <c r="AG102" s="15"/>
      <c r="AH102" s="91"/>
      <c r="AI102" s="96" t="str">
        <f>IF(ISERR(AA102/X102),"",(AA102/X102))</f>
        <v/>
      </c>
      <c r="AJ102" s="97" t="str">
        <f>IF(ISERR(AB102/AA102),"",(AB102/AA102))</f>
        <v/>
      </c>
      <c r="AK102" s="139" t="str">
        <f>IF((ISERROR((Coeff!AB102+TestInfoPage!$B$6)/(Coeff!AA102+TestInfoPage!$B$5))),"",((Coeff!AB102+TestInfoPage!$B$6)/(Coeff!AA102+TestInfoPage!$B$5)))</f>
        <v/>
      </c>
      <c r="AL102" s="96"/>
      <c r="AM102" s="36"/>
      <c r="AN102" s="142"/>
      <c r="AO102" s="79" t="str">
        <f>IF(ISERR(AVERAGE(AP102:AS102)),"",AVERAGE(AP102:AS102))</f>
        <v/>
      </c>
      <c r="AP102" s="4" t="s">
        <v>119</v>
      </c>
      <c r="AQ102" s="4" t="s">
        <v>119</v>
      </c>
      <c r="AR102" s="4" t="s">
        <v>119</v>
      </c>
      <c r="AS102" s="4" t="s">
        <v>119</v>
      </c>
      <c r="AT102" s="7"/>
      <c r="AU102" s="7"/>
      <c r="AV102" s="7"/>
      <c r="AW102" s="80"/>
      <c r="AX102" s="81" t="s">
        <v>119</v>
      </c>
      <c r="AY102" s="4" t="s">
        <v>119</v>
      </c>
      <c r="AZ102" s="15"/>
      <c r="BA102" s="91"/>
      <c r="BB102" s="79" t="s">
        <v>119</v>
      </c>
      <c r="BC102" s="7" t="s">
        <v>119</v>
      </c>
      <c r="BD102" s="7" t="s">
        <v>119</v>
      </c>
      <c r="BE102" s="7" t="s">
        <v>119</v>
      </c>
      <c r="BF102" s="7" t="s">
        <v>119</v>
      </c>
      <c r="BG102" s="7" t="s">
        <v>119</v>
      </c>
      <c r="BH102" s="7" t="s">
        <v>119</v>
      </c>
      <c r="BI102" s="7" t="s">
        <v>119</v>
      </c>
      <c r="BJ102" s="7" t="s">
        <v>119</v>
      </c>
      <c r="BK102" s="7" t="s">
        <v>119</v>
      </c>
      <c r="BL102" s="7" t="s">
        <v>119</v>
      </c>
      <c r="BM102" s="7" t="s">
        <v>119</v>
      </c>
      <c r="BN102" s="7" t="s">
        <v>119</v>
      </c>
      <c r="BO102" s="7" t="s">
        <v>119</v>
      </c>
      <c r="BP102" s="7" t="s">
        <v>119</v>
      </c>
      <c r="BQ102" s="7" t="s">
        <v>119</v>
      </c>
      <c r="BR102" s="7" t="s">
        <v>119</v>
      </c>
      <c r="BS102" s="80" t="s">
        <v>119</v>
      </c>
      <c r="BT102" s="109"/>
      <c r="BU102" s="101"/>
      <c r="BV102" s="101"/>
      <c r="BW102" s="101"/>
      <c r="BX102" s="101"/>
      <c r="BY102" s="101"/>
      <c r="BZ102" s="101"/>
      <c r="CA102" s="101"/>
      <c r="CB102" s="101"/>
      <c r="CC102" s="101"/>
      <c r="CD102" s="101"/>
      <c r="CE102" s="101"/>
      <c r="CF102" s="101"/>
      <c r="CG102" s="101"/>
      <c r="CH102" s="101"/>
      <c r="CI102" s="101"/>
      <c r="CJ102" s="101"/>
      <c r="CK102" s="110"/>
      <c r="CL102" s="1"/>
    </row>
    <row r="103" spans="1:90" ht="13.5" customHeight="1" thickBot="1" x14ac:dyDescent="0.3">
      <c r="A103" s="158">
        <v>0</v>
      </c>
      <c r="B103" s="10"/>
      <c r="C103" s="10">
        <v>4</v>
      </c>
      <c r="D103" s="76"/>
      <c r="E103" s="81" t="s">
        <v>119</v>
      </c>
      <c r="F103" s="80"/>
      <c r="G103" s="4" t="s">
        <v>119</v>
      </c>
      <c r="H103" s="4" t="s">
        <v>119</v>
      </c>
      <c r="I103" s="4" t="s">
        <v>119</v>
      </c>
      <c r="J103" s="4" t="s">
        <v>119</v>
      </c>
      <c r="K103" s="7"/>
      <c r="L103" s="7"/>
      <c r="M103" s="7"/>
      <c r="N103" s="7"/>
      <c r="O103" s="81" t="s">
        <v>119</v>
      </c>
      <c r="P103" s="4" t="s">
        <v>119</v>
      </c>
      <c r="Q103" s="4" t="s">
        <v>119</v>
      </c>
      <c r="R103" s="7"/>
      <c r="S103" s="7"/>
      <c r="T103" s="80"/>
      <c r="U103" s="6" t="s">
        <v>119</v>
      </c>
      <c r="V103" s="6" t="s">
        <v>119</v>
      </c>
      <c r="W103" s="90" t="str">
        <f>IF(ISERR(X103*$AC$1/375),"",(X103*$AC$1/375))</f>
        <v/>
      </c>
      <c r="X103" s="15" t="str">
        <f>IF(ISERR(((($AC$1)^2)*0.002558)*E103*$F$1),"",(((($AC$1)^2)*0.002558)*E103*$F$1))</f>
        <v/>
      </c>
      <c r="Y103" s="15"/>
      <c r="Z103" s="91"/>
      <c r="AA103" s="90" t="str">
        <f t="shared" si="100"/>
        <v/>
      </c>
      <c r="AB103" s="15" t="str">
        <f t="shared" si="100"/>
        <v/>
      </c>
      <c r="AC103" s="15" t="str">
        <f t="shared" si="100"/>
        <v/>
      </c>
      <c r="AD103" s="15" t="str">
        <f t="shared" si="100"/>
        <v/>
      </c>
      <c r="AE103" s="15"/>
      <c r="AF103" s="15"/>
      <c r="AG103" s="15"/>
      <c r="AH103" s="91"/>
      <c r="AI103" s="96" t="str">
        <f>IF(ISERR(AA103/X103),"",(AA103/X103))</f>
        <v/>
      </c>
      <c r="AJ103" s="97" t="str">
        <f>IF(ISERR(AB103/AA103),"",(AB103/AA103))</f>
        <v/>
      </c>
      <c r="AK103" s="139" t="str">
        <f>IF((ISERROR((Coeff!AB103+TestInfoPage!$B$6)/(Coeff!AA103+TestInfoPage!$B$5))),"",((Coeff!AB103+TestInfoPage!$B$6)/(Coeff!AA103+TestInfoPage!$B$5)))</f>
        <v/>
      </c>
      <c r="AL103" s="96"/>
      <c r="AM103" s="36"/>
      <c r="AN103" s="142"/>
      <c r="AO103" s="79" t="str">
        <f>IF(ISERR(AVERAGE(AP103:AS103)),"",AVERAGE(AP103:AS103))</f>
        <v/>
      </c>
      <c r="AP103" s="4" t="s">
        <v>119</v>
      </c>
      <c r="AQ103" s="4" t="s">
        <v>119</v>
      </c>
      <c r="AR103" s="4" t="s">
        <v>119</v>
      </c>
      <c r="AS103" s="4" t="s">
        <v>119</v>
      </c>
      <c r="AT103" s="7"/>
      <c r="AU103" s="7"/>
      <c r="AV103" s="7"/>
      <c r="AW103" s="80"/>
      <c r="AX103" s="81" t="s">
        <v>119</v>
      </c>
      <c r="AY103" s="4" t="s">
        <v>119</v>
      </c>
      <c r="AZ103" s="15"/>
      <c r="BA103" s="91"/>
      <c r="BB103" s="163" t="s">
        <v>119</v>
      </c>
      <c r="BC103" s="157" t="s">
        <v>119</v>
      </c>
      <c r="BD103" s="157" t="s">
        <v>119</v>
      </c>
      <c r="BE103" s="157" t="s">
        <v>119</v>
      </c>
      <c r="BF103" s="157" t="s">
        <v>119</v>
      </c>
      <c r="BG103" s="157" t="s">
        <v>119</v>
      </c>
      <c r="BH103" s="157" t="s">
        <v>119</v>
      </c>
      <c r="BI103" s="157" t="s">
        <v>119</v>
      </c>
      <c r="BJ103" s="157" t="s">
        <v>119</v>
      </c>
      <c r="BK103" s="157" t="s">
        <v>119</v>
      </c>
      <c r="BL103" s="157" t="s">
        <v>119</v>
      </c>
      <c r="BM103" s="157" t="s">
        <v>119</v>
      </c>
      <c r="BN103" s="157" t="s">
        <v>119</v>
      </c>
      <c r="BO103" s="157" t="s">
        <v>119</v>
      </c>
      <c r="BP103" s="157" t="s">
        <v>119</v>
      </c>
      <c r="BQ103" s="157" t="s">
        <v>119</v>
      </c>
      <c r="BR103" s="157" t="s">
        <v>119</v>
      </c>
      <c r="BS103" s="84" t="s">
        <v>119</v>
      </c>
      <c r="BT103" s="109"/>
      <c r="BU103" s="101"/>
      <c r="BV103" s="101"/>
      <c r="BW103" s="101"/>
      <c r="BX103" s="101"/>
      <c r="BY103" s="101"/>
      <c r="BZ103" s="101"/>
      <c r="CA103" s="101"/>
      <c r="CB103" s="101"/>
      <c r="CC103" s="101"/>
      <c r="CD103" s="101"/>
      <c r="CE103" s="101"/>
      <c r="CF103" s="101"/>
      <c r="CG103" s="101"/>
      <c r="CH103" s="101"/>
      <c r="CI103" s="101"/>
      <c r="CJ103" s="101"/>
      <c r="CK103" s="110"/>
      <c r="CL103" s="1"/>
    </row>
    <row r="104" spans="1:90" x14ac:dyDescent="0.25">
      <c r="A104" s="43"/>
      <c r="B104" s="13"/>
      <c r="C104" s="13"/>
      <c r="D104" s="18"/>
      <c r="E104" s="13"/>
      <c r="G104" s="13"/>
      <c r="H104" s="13"/>
      <c r="I104" s="13"/>
      <c r="J104" s="13"/>
      <c r="K104" s="25"/>
      <c r="L104" s="25"/>
      <c r="M104" s="25"/>
      <c r="N104" s="25"/>
      <c r="O104" s="13"/>
      <c r="P104" s="13"/>
      <c r="Q104" s="13"/>
      <c r="R104" s="25"/>
      <c r="S104" s="25"/>
      <c r="T104" s="25"/>
      <c r="U104" s="13"/>
      <c r="V104" s="13"/>
      <c r="W104" s="16"/>
      <c r="X104" s="16"/>
      <c r="Y104" s="16"/>
      <c r="Z104" s="16"/>
      <c r="AA104" s="16"/>
      <c r="AB104" s="16"/>
      <c r="AC104" s="16"/>
      <c r="AD104" s="16"/>
      <c r="AE104" s="16"/>
      <c r="AF104" s="16"/>
      <c r="AG104" s="16"/>
      <c r="AH104" s="16"/>
      <c r="AI104" s="22"/>
      <c r="AJ104" s="37"/>
      <c r="AK104" s="143"/>
      <c r="AL104" s="22"/>
      <c r="AM104" s="37"/>
      <c r="AN104" s="37"/>
      <c r="AO104" s="25"/>
      <c r="AP104" s="25"/>
      <c r="AQ104" s="25"/>
      <c r="AR104" s="25"/>
      <c r="AS104" s="25"/>
      <c r="AT104" s="25"/>
      <c r="AU104" s="29"/>
      <c r="AV104" s="29"/>
      <c r="AW104" s="29"/>
      <c r="AX104" s="22"/>
      <c r="AY104" s="22"/>
      <c r="AZ104" s="39"/>
      <c r="BA104" s="39"/>
      <c r="BB104" s="13"/>
      <c r="BC104" s="13"/>
      <c r="BD104" s="13"/>
      <c r="BE104" s="13"/>
      <c r="BF104" s="13"/>
      <c r="BG104" s="13"/>
      <c r="BH104" s="13"/>
      <c r="BI104" s="13"/>
      <c r="BJ104" s="13"/>
      <c r="BK104" s="13"/>
      <c r="BL104" s="13"/>
      <c r="BM104" s="13"/>
      <c r="BN104" s="13"/>
      <c r="BO104" s="13"/>
      <c r="BP104" s="13"/>
      <c r="BQ104" s="13"/>
      <c r="BR104" s="13"/>
      <c r="BS104" s="13"/>
      <c r="BT104" s="12"/>
      <c r="BU104" s="12"/>
      <c r="BV104" s="12"/>
      <c r="BW104" s="12"/>
      <c r="BX104" s="12"/>
      <c r="BY104" s="12"/>
      <c r="BZ104" s="12"/>
      <c r="CA104" s="12"/>
      <c r="CB104" s="12"/>
      <c r="CC104" s="12"/>
      <c r="CD104" s="12"/>
      <c r="CE104" s="12"/>
      <c r="CF104" s="12"/>
      <c r="CG104" s="12"/>
      <c r="CH104" s="12"/>
      <c r="CI104" s="12"/>
      <c r="CJ104" s="12"/>
      <c r="CK104" s="12"/>
      <c r="CL104" s="1"/>
    </row>
    <row r="105" spans="1:90" x14ac:dyDescent="0.25">
      <c r="AX105" s="21"/>
      <c r="CL105" s="1"/>
    </row>
    <row r="106" spans="1:90" x14ac:dyDescent="0.25">
      <c r="AX106" s="21"/>
      <c r="CL106" s="1"/>
    </row>
    <row r="107" spans="1:90" x14ac:dyDescent="0.25">
      <c r="AX107" s="21"/>
      <c r="CL107" s="1"/>
    </row>
    <row r="108" spans="1:90" x14ac:dyDescent="0.25">
      <c r="AX108" s="21"/>
      <c r="CL108" s="1"/>
    </row>
    <row r="109" spans="1:90" x14ac:dyDescent="0.25">
      <c r="AX109" s="21"/>
      <c r="CL109" s="1"/>
    </row>
    <row r="110" spans="1:90" x14ac:dyDescent="0.25">
      <c r="AX110" s="21"/>
      <c r="CL110" s="1"/>
    </row>
    <row r="111" spans="1:90" x14ac:dyDescent="0.25">
      <c r="AX111" s="21"/>
      <c r="CL111" s="1"/>
    </row>
    <row r="112" spans="1:90" x14ac:dyDescent="0.25">
      <c r="AX112" s="21"/>
      <c r="CL112" s="1"/>
    </row>
    <row r="113" spans="50:90" x14ac:dyDescent="0.25">
      <c r="AX113" s="21"/>
      <c r="CL113" s="1"/>
    </row>
    <row r="114" spans="50:90" x14ac:dyDescent="0.25">
      <c r="AX114" s="21"/>
      <c r="CL114" s="1"/>
    </row>
    <row r="115" spans="50:90" x14ac:dyDescent="0.25">
      <c r="AX115" s="21"/>
      <c r="CL115" s="1"/>
    </row>
    <row r="116" spans="50:90" x14ac:dyDescent="0.25">
      <c r="AX116" s="21"/>
      <c r="CL116" s="1"/>
    </row>
    <row r="117" spans="50:90" x14ac:dyDescent="0.25">
      <c r="AX117" s="21"/>
      <c r="CL117" s="1"/>
    </row>
    <row r="118" spans="50:90" x14ac:dyDescent="0.25">
      <c r="AX118" s="21"/>
      <c r="CL118" s="1"/>
    </row>
    <row r="119" spans="50:90" x14ac:dyDescent="0.25">
      <c r="AX119" s="21"/>
      <c r="CL119" s="1"/>
    </row>
    <row r="120" spans="50:90" x14ac:dyDescent="0.25">
      <c r="AX120" s="21"/>
      <c r="CL120" s="1"/>
    </row>
    <row r="121" spans="50:90" x14ac:dyDescent="0.25">
      <c r="AX121" s="21"/>
      <c r="CL121" s="1"/>
    </row>
    <row r="122" spans="50:90" x14ac:dyDescent="0.25">
      <c r="AX122" s="21"/>
      <c r="CL122" s="1"/>
    </row>
    <row r="123" spans="50:90" x14ac:dyDescent="0.25">
      <c r="AX123" s="21"/>
      <c r="CL123" s="1"/>
    </row>
    <row r="124" spans="50:90" x14ac:dyDescent="0.25">
      <c r="AX124" s="21"/>
      <c r="CL124" s="1"/>
    </row>
    <row r="125" spans="50:90" x14ac:dyDescent="0.25">
      <c r="AX125" s="21"/>
      <c r="CL125" s="1"/>
    </row>
    <row r="126" spans="50:90" x14ac:dyDescent="0.25">
      <c r="AX126" s="21"/>
      <c r="CL126" s="1"/>
    </row>
    <row r="127" spans="50:90" x14ac:dyDescent="0.25">
      <c r="AX127" s="21"/>
      <c r="CL127" s="1"/>
    </row>
    <row r="128" spans="50:90" x14ac:dyDescent="0.25">
      <c r="AX128" s="21"/>
      <c r="CL128" s="1"/>
    </row>
    <row r="129" spans="50:90" x14ac:dyDescent="0.25">
      <c r="AX129" s="21"/>
      <c r="CL129" s="1"/>
    </row>
    <row r="130" spans="50:90" x14ac:dyDescent="0.25">
      <c r="AX130" s="21"/>
      <c r="CL130" s="1"/>
    </row>
    <row r="131" spans="50:90" x14ac:dyDescent="0.25">
      <c r="AX131" s="21"/>
      <c r="CL131" s="1"/>
    </row>
    <row r="132" spans="50:90" x14ac:dyDescent="0.25">
      <c r="AX132" s="21"/>
      <c r="CL132" s="1"/>
    </row>
    <row r="133" spans="50:90" x14ac:dyDescent="0.25">
      <c r="AX133" s="21"/>
      <c r="CL133" s="1"/>
    </row>
    <row r="134" spans="50:90" x14ac:dyDescent="0.25">
      <c r="AX134" s="21"/>
      <c r="CL134" s="1"/>
    </row>
    <row r="135" spans="50:90" x14ac:dyDescent="0.25">
      <c r="AX135" s="21"/>
      <c r="CL135" s="1"/>
    </row>
    <row r="136" spans="50:90" x14ac:dyDescent="0.25">
      <c r="AX136" s="21"/>
      <c r="CL136" s="1"/>
    </row>
    <row r="137" spans="50:90" x14ac:dyDescent="0.25">
      <c r="AX137" s="21"/>
      <c r="CL137" s="1"/>
    </row>
    <row r="138" spans="50:90" x14ac:dyDescent="0.25">
      <c r="AX138" s="21"/>
      <c r="CL138" s="1"/>
    </row>
    <row r="139" spans="50:90" x14ac:dyDescent="0.25">
      <c r="AX139" s="21"/>
      <c r="CL139" s="1"/>
    </row>
    <row r="140" spans="50:90" x14ac:dyDescent="0.25">
      <c r="AX140" s="21"/>
      <c r="CL140" s="1"/>
    </row>
    <row r="141" spans="50:90" x14ac:dyDescent="0.25">
      <c r="AX141" s="21"/>
      <c r="CL141" s="1"/>
    </row>
    <row r="142" spans="50:90" x14ac:dyDescent="0.25">
      <c r="AX142" s="21"/>
      <c r="CL142" s="1"/>
    </row>
    <row r="143" spans="50:90" x14ac:dyDescent="0.25">
      <c r="AX143" s="21"/>
      <c r="CL143" s="1"/>
    </row>
    <row r="144" spans="50:90" x14ac:dyDescent="0.25">
      <c r="AX144" s="21"/>
      <c r="CL144" s="1"/>
    </row>
    <row r="145" spans="50:90" x14ac:dyDescent="0.25">
      <c r="AX145" s="21"/>
      <c r="CL145" s="1"/>
    </row>
    <row r="146" spans="50:90" x14ac:dyDescent="0.25">
      <c r="AX146" s="21"/>
      <c r="CL146" s="1"/>
    </row>
    <row r="147" spans="50:90" x14ac:dyDescent="0.25">
      <c r="AX147" s="21"/>
      <c r="CL147" s="1"/>
    </row>
    <row r="148" spans="50:90" x14ac:dyDescent="0.25">
      <c r="AX148" s="21"/>
      <c r="CL148" s="1"/>
    </row>
    <row r="149" spans="50:90" x14ac:dyDescent="0.25">
      <c r="AX149" s="21"/>
      <c r="CL149" s="1"/>
    </row>
    <row r="150" spans="50:90" x14ac:dyDescent="0.25">
      <c r="AX150" s="21"/>
      <c r="CL150" s="1"/>
    </row>
    <row r="151" spans="50:90" x14ac:dyDescent="0.25">
      <c r="AX151" s="21"/>
      <c r="CL151" s="1"/>
    </row>
    <row r="152" spans="50:90" x14ac:dyDescent="0.25">
      <c r="AX152" s="21"/>
      <c r="CL152" s="1"/>
    </row>
    <row r="153" spans="50:90" x14ac:dyDescent="0.25">
      <c r="AX153" s="21"/>
      <c r="CL153" s="1"/>
    </row>
    <row r="154" spans="50:90" x14ac:dyDescent="0.25">
      <c r="AX154" s="21"/>
      <c r="CL154" s="1"/>
    </row>
  </sheetData>
  <mergeCells count="7">
    <mergeCell ref="AL2:AN2"/>
    <mergeCell ref="D1:E1"/>
    <mergeCell ref="BB2:BS2"/>
    <mergeCell ref="BT2:CK2"/>
    <mergeCell ref="Y2:Z2"/>
    <mergeCell ref="AE2:AH2"/>
    <mergeCell ref="AA2:AD2"/>
  </mergeCells>
  <phoneticPr fontId="1" type="noConversion"/>
  <conditionalFormatting sqref="F4:F103">
    <cfRule type="cellIs" dxfId="4" priority="1" stopIfTrue="1" operator="lessThan">
      <formula>-0.002</formula>
    </cfRule>
    <cfRule type="cellIs" dxfId="3" priority="2" stopIfTrue="1" operator="greaterThan">
      <formula>0.002</formula>
    </cfRule>
  </conditionalFormatting>
  <conditionalFormatting sqref="K4:N103">
    <cfRule type="cellIs" dxfId="2" priority="3" stopIfTrue="1" operator="lessThan">
      <formula>-0.002</formula>
    </cfRule>
    <cfRule type="cellIs" dxfId="1" priority="4" stopIfTrue="1" operator="greaterThan">
      <formula>0.002</formula>
    </cfRule>
  </conditionalFormatting>
  <conditionalFormatting sqref="A1:A2 A4:A103">
    <cfRule type="cellIs" dxfId="0" priority="5" stopIfTrue="1" operator="equal">
      <formula>0</formula>
    </cfRule>
  </conditionalFormatting>
  <pageMargins left="0.34" right="0.34" top="0.28999999999999998" bottom="0.25" header="0.22" footer="0.18"/>
  <pageSetup scale="47" orientation="landscape" horizontalDpi="4294967294" verticalDpi="300" r:id="rId1"/>
  <headerFooter alignWithMargins="0"/>
  <colBreaks count="1" manualBreakCount="1">
    <brk id="34" max="1048575" man="1"/>
  </colBreaks>
  <ignoredErrors>
    <ignoredError sqref="W100:X103 W10:X13 W35:X38 AA35:AC38 AA10:AC13 AI100:AI103 AI10:AI13 AI35:AI38 AA20:AC23 W20:X23 AI20:AI23 AI25:AI28 AA25:AC28 W25:X28 W30:X33 AI30:AI33 AA30:AC33 AI45:AI48 AA45:AC48 W45:X48 W50:X53 AI50:AI53 AA50:AC53 AA55:AC58 W55:X58 AI55:AI58 AI60:AI63 AA60:AC63 W60:X63 W65:X68 AI65:AI68 AA65:AC68 AA70:AC73 W70:X73 AI70:AI73 AI75:AI78 AA75:AC78 W75:X78 W80:X83 AI80:AI83 AA80:AC83 AA85:AC88 W85:X88 AI85:AI88 AI90:AI93 AA90:AC93 W90:X93 W95:X98 AI95:AI98 AA95:AC98 AA100:AC103" formula="1"/>
  </ignoredError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C10"/>
  <sheetViews>
    <sheetView workbookViewId="0">
      <selection activeCell="B6" sqref="B6"/>
    </sheetView>
  </sheetViews>
  <sheetFormatPr defaultRowHeight="13.5" x14ac:dyDescent="0.25"/>
  <cols>
    <col min="1" max="1" width="12.125" style="145" bestFit="1" customWidth="1"/>
    <col min="2" max="2" width="9" style="41"/>
  </cols>
  <sheetData>
    <row r="1" spans="1:3" x14ac:dyDescent="0.25">
      <c r="A1" s="145" t="s">
        <v>31</v>
      </c>
      <c r="B1" s="146"/>
    </row>
    <row r="2" spans="1:3" x14ac:dyDescent="0.25">
      <c r="A2" s="145" t="s">
        <v>30</v>
      </c>
      <c r="B2" s="146">
        <f>Coeff!I1</f>
        <v>49</v>
      </c>
    </row>
    <row r="3" spans="1:3" x14ac:dyDescent="0.25">
      <c r="A3" s="145" t="s">
        <v>32</v>
      </c>
      <c r="B3" s="146">
        <f>Coeff!F1</f>
        <v>3.75</v>
      </c>
    </row>
    <row r="6" spans="1:3" x14ac:dyDescent="0.25">
      <c r="A6" s="145" t="s">
        <v>34</v>
      </c>
      <c r="B6" s="146"/>
      <c r="C6" s="144" t="s">
        <v>106</v>
      </c>
    </row>
    <row r="7" spans="1:3" x14ac:dyDescent="0.25">
      <c r="A7" s="145" t="s">
        <v>33</v>
      </c>
      <c r="B7" s="146"/>
      <c r="C7" s="144" t="s">
        <v>106</v>
      </c>
    </row>
    <row r="9" spans="1:3" x14ac:dyDescent="0.25">
      <c r="A9" s="145" t="s">
        <v>111</v>
      </c>
      <c r="B9" s="154">
        <f>SUM(B6:B7)</f>
        <v>0</v>
      </c>
    </row>
    <row r="10" spans="1:3" x14ac:dyDescent="0.25">
      <c r="A10" s="145" t="s">
        <v>113</v>
      </c>
      <c r="B10" s="156" t="e">
        <f>B6/B9</f>
        <v>#DIV/0!</v>
      </c>
    </row>
  </sheetData>
  <phoneticPr fontId="1" type="noConversion"/>
  <pageMargins left="0.75" right="0.75" top="1" bottom="1" header="0.5" footer="0.5"/>
  <pageSetup orientation="portrait" r:id="rId1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Coeff</vt:lpstr>
      <vt:lpstr>TestInfoPage</vt:lpstr>
    </vt:vector>
  </TitlesOfParts>
  <Company>A2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Gary Eaker</dc:creator>
  <cp:lastModifiedBy>Customer</cp:lastModifiedBy>
  <cp:lastPrinted>2010-04-21T21:05:58Z</cp:lastPrinted>
  <dcterms:created xsi:type="dcterms:W3CDTF">2005-10-18T13:32:25Z</dcterms:created>
  <dcterms:modified xsi:type="dcterms:W3CDTF">2018-02-09T20:12:45Z</dcterms:modified>
</cp:coreProperties>
</file>